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4.xml.rels" ContentType="application/vnd.openxmlformats-package.relationships+xml"/>
  <Override PartName="/xl/worksheets/_rels/sheet23.xml.rels" ContentType="application/vnd.openxmlformats-package.relationships+xml"/>
  <Override PartName="/xl/worksheets/_rels/sheet21.xml.rels" ContentType="application/vnd.openxmlformats-package.relationships+xml"/>
  <Override PartName="/xl/worksheets/_rels/sheet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5.xml" ContentType="application/vnd.openxmlformats-officedocument.spreadsheetml.worksheet+xml"/>
  <Override PartName="/xl/worksheets/sheet2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9"/>
  </bookViews>
  <sheets>
    <sheet name="Leidos antes" sheetId="1" state="visible" r:id="rId3"/>
    <sheet name="Leidos 2008" sheetId="2" state="visible" r:id="rId4"/>
    <sheet name="Leidos 2009" sheetId="3" state="visible" r:id="rId5"/>
    <sheet name="Leidos 2010" sheetId="4" state="visible" r:id="rId6"/>
    <sheet name="Leidos 2011" sheetId="5" state="visible" r:id="rId7"/>
    <sheet name="Leidos 2012" sheetId="6" state="visible" r:id="rId8"/>
    <sheet name="Leídos 2013" sheetId="7" state="visible" r:id="rId9"/>
    <sheet name="Leídos 2014" sheetId="8" state="visible" r:id="rId10"/>
    <sheet name="Leídos 2015" sheetId="9" state="visible" r:id="rId11"/>
    <sheet name="Leídos 2016" sheetId="10" state="visible" r:id="rId12"/>
    <sheet name="Leídos 2017" sheetId="11" state="visible" r:id="rId13"/>
    <sheet name="Leídos 2018" sheetId="12" state="visible" r:id="rId14"/>
    <sheet name="Leídos 2019" sheetId="13" state="visible" r:id="rId15"/>
    <sheet name="Leídos 2020" sheetId="14" state="visible" r:id="rId16"/>
    <sheet name="Leídos 2021" sheetId="15" state="visible" r:id="rId17"/>
    <sheet name="Leídos 2022" sheetId="16" state="visible" r:id="rId18"/>
    <sheet name="Leídos 2023" sheetId="17" state="visible" r:id="rId19"/>
    <sheet name="Leídos 2024" sheetId="18" state="visible" r:id="rId20"/>
    <sheet name="Leídos 2025" sheetId="19" state="visible" r:id="rId21"/>
    <sheet name="Leídos 2026" sheetId="20" state="visible" r:id="rId22"/>
    <sheet name="Gráficos" sheetId="21" state="visible" r:id="rId23"/>
    <sheet name="kindle" sheetId="22" state="visible" r:id="rId24"/>
    <sheet name="Proxima Visita" sheetId="23" state="visible" r:id="rId25"/>
    <sheet name="Pendientes" sheetId="24" state="visible" r:id="rId26"/>
    <sheet name="Descartados" sheetId="25" state="visible" r:id="rId27"/>
  </sheets>
  <definedNames>
    <definedName function="false" hidden="false" localSheetId="23" name="_xlnm.Print_Area" vbProcedure="false">Pendientes!$A$2:$D$65349</definedName>
    <definedName function="false" hidden="true" localSheetId="23" name="_xlnm._FilterDatabase" vbProcedure="false">Pendientes!$A$1:$H$134</definedName>
    <definedName function="false" hidden="false" localSheetId="22" name="_xlnm.Print_Area" vbProcedure="false">'Proxima Visita'!$A$1:$G$1</definedName>
    <definedName function="false" hidden="false" name="_xlfn_SUMIFS" vbProcedure="false"/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<sst xmlns="http://schemas.openxmlformats.org/spreadsheetml/2006/main" count="5217" uniqueCount="2185">
  <si>
    <t xml:space="preserve">Titulo</t>
  </si>
  <si>
    <t xml:space="preserve">Autor</t>
  </si>
  <si>
    <t xml:space="preserve">Origen</t>
  </si>
  <si>
    <t xml:space="preserve">Fecha Inicio</t>
  </si>
  <si>
    <t xml:space="preserve">Fecha Fin</t>
  </si>
  <si>
    <t xml:space="preserve">Paginas</t>
  </si>
  <si>
    <t xml:space="preserve">Tipo</t>
  </si>
  <si>
    <t xml:space="preserve">Puntuación (del 1 al 10)</t>
  </si>
  <si>
    <t xml:space="preserve">Soldados de Salamina</t>
  </si>
  <si>
    <t xml:space="preserve">Javier Cercas</t>
  </si>
  <si>
    <t xml:space="preserve">Novela</t>
  </si>
  <si>
    <t xml:space="preserve">La flecha del tiempo o La naturaleza de la ofensa </t>
  </si>
  <si>
    <t xml:space="preserve">Martin Amis </t>
  </si>
  <si>
    <t xml:space="preserve">N AMI fle </t>
  </si>
  <si>
    <t xml:space="preserve">Jpod </t>
  </si>
  <si>
    <t xml:space="preserve">Douglas Coupland  </t>
  </si>
  <si>
    <t xml:space="preserve">N COU jpo </t>
  </si>
  <si>
    <t xml:space="preserve">Neuromante </t>
  </si>
  <si>
    <t xml:space="preserve">William Gibson </t>
  </si>
  <si>
    <t xml:space="preserve">N GIB neu </t>
  </si>
  <si>
    <t xml:space="preserve"> </t>
  </si>
  <si>
    <t xml:space="preserve">El mono desnudo </t>
  </si>
  <si>
    <t xml:space="preserve">Desmond Morris</t>
  </si>
  <si>
    <t xml:space="preserve">572 MOR mon </t>
  </si>
  <si>
    <t xml:space="preserve">Ensayo</t>
  </si>
  <si>
    <t xml:space="preserve">Fahrenheit 451 </t>
  </si>
  <si>
    <t xml:space="preserve">Ray Bradbury </t>
  </si>
  <si>
    <t xml:space="preserve">N BRA far </t>
  </si>
  <si>
    <t xml:space="preserve">Las siete hijas de Eva </t>
  </si>
  <si>
    <t xml:space="preserve">Bryan Sykes </t>
  </si>
  <si>
    <t xml:space="preserve">572 SYK sie </t>
  </si>
  <si>
    <t xml:space="preserve">Gomorra: un viaje al imperio económico y al sueño de poder de la Camorra </t>
  </si>
  <si>
    <t xml:space="preserve">Roberto Saviano </t>
  </si>
  <si>
    <t xml:space="preserve">Propio </t>
  </si>
  <si>
    <t xml:space="preserve">El viaje del elefante </t>
  </si>
  <si>
    <t xml:space="preserve">José Saramago </t>
  </si>
  <si>
    <t xml:space="preserve">El porqué de las cosas</t>
  </si>
  <si>
    <t xml:space="preserve">Quim Monzó </t>
  </si>
  <si>
    <t xml:space="preserve">N MON por </t>
  </si>
  <si>
    <t xml:space="preserve">El sexto invierno</t>
  </si>
  <si>
    <t xml:space="preserve">Douglas Orgill y John Gribbin</t>
  </si>
  <si>
    <t xml:space="preserve">N ORG sex</t>
  </si>
  <si>
    <t xml:space="preserve">Kafka on the Shore</t>
  </si>
  <si>
    <t xml:space="preserve">Haruki Murakami </t>
  </si>
  <si>
    <t xml:space="preserve">N MUR kaf </t>
  </si>
  <si>
    <t xml:space="preserve">6.5</t>
  </si>
  <si>
    <t xml:space="preserve">Roberto Bolaño </t>
  </si>
  <si>
    <t xml:space="preserve">9.5</t>
  </si>
  <si>
    <t xml:space="preserve">Genoma: la autobiografía de una especie en 23 capítulos</t>
  </si>
  <si>
    <t xml:space="preserve">Matt Ridley</t>
  </si>
  <si>
    <t xml:space="preserve">575 RID gen</t>
  </si>
  <si>
    <t xml:space="preserve">Trece campanadas</t>
  </si>
  <si>
    <t xml:space="preserve">Suso de Toro</t>
  </si>
  <si>
    <t xml:space="preserve">N TOR tre</t>
  </si>
  <si>
    <t xml:space="preserve">4.5</t>
  </si>
  <si>
    <t xml:space="preserve">Piratas, corsarios, bucaneros y filibusteros </t>
  </si>
  <si>
    <t xml:space="preserve">Manuel Lucena Salmoral</t>
  </si>
  <si>
    <t xml:space="preserve">910 LUC pir</t>
  </si>
  <si>
    <t xml:space="preserve">Historia</t>
  </si>
  <si>
    <t xml:space="preserve">El antropólogo inocente: notas desde una choza de barro</t>
  </si>
  <si>
    <t xml:space="preserve">Nigel Barley</t>
  </si>
  <si>
    <t xml:space="preserve">39 BAR ant</t>
  </si>
  <si>
    <t xml:space="preserve">La isla de los ciegos al color</t>
  </si>
  <si>
    <t xml:space="preserve">Oliver Sacks</t>
  </si>
  <si>
    <t xml:space="preserve">617 SAC isl </t>
  </si>
  <si>
    <t xml:space="preserve">Indios carapálidas</t>
  </si>
  <si>
    <t xml:space="preserve">Ricardo Herren</t>
  </si>
  <si>
    <t xml:space="preserve">97/98 HER ind </t>
  </si>
  <si>
    <t xml:space="preserve">Un trabajo muy sucio</t>
  </si>
  <si>
    <t xml:space="preserve">Christopher Moore</t>
  </si>
  <si>
    <t xml:space="preserve">Prestado</t>
  </si>
  <si>
    <t xml:space="preserve">7.5</t>
  </si>
  <si>
    <t xml:space="preserve">En picado</t>
  </si>
  <si>
    <t xml:space="preserve">Nick Hornby</t>
  </si>
  <si>
    <t xml:space="preserve">N HOR enp </t>
  </si>
  <si>
    <t xml:space="preserve">La vida en las ventanas</t>
  </si>
  <si>
    <t xml:space="preserve">Andrés Neuman</t>
  </si>
  <si>
    <t xml:space="preserve">N NEU vid</t>
  </si>
  <si>
    <t xml:space="preserve">La piel fría</t>
  </si>
  <si>
    <t xml:space="preserve">Albert Sánchez Piñol</t>
  </si>
  <si>
    <t xml:space="preserve">N SAN pie</t>
  </si>
  <si>
    <t xml:space="preserve">El médico</t>
  </si>
  <si>
    <t xml:space="preserve">Noah Gordon</t>
  </si>
  <si>
    <t xml:space="preserve">La isla de cemento</t>
  </si>
  <si>
    <t xml:space="preserve">J. G. Ballard</t>
  </si>
  <si>
    <t xml:space="preserve">N BAL isl</t>
  </si>
  <si>
    <t xml:space="preserve">Historias de Londres </t>
  </si>
  <si>
    <t xml:space="preserve">Enric González</t>
  </si>
  <si>
    <t xml:space="preserve">N GON his</t>
  </si>
  <si>
    <t xml:space="preserve">La chica que soñaba con una cerilla y un bidón de gasolina</t>
  </si>
  <si>
    <t xml:space="preserve">Stieg Larsson</t>
  </si>
  <si>
    <t xml:space="preserve">Polvo eres: peripecias y extravagancias de algunos cadáveres inquietos</t>
  </si>
  <si>
    <t xml:space="preserve">Nieves Concostrina</t>
  </si>
  <si>
    <t xml:space="preserve">B CON pol </t>
  </si>
  <si>
    <t xml:space="preserve">Jennifer Gobierno</t>
  </si>
  <si>
    <t xml:space="preserve">Max Barry</t>
  </si>
  <si>
    <t xml:space="preserve">N BAR jen</t>
  </si>
  <si>
    <t xml:space="preserve">Patas arriba</t>
  </si>
  <si>
    <t xml:space="preserve">Eduardo Galeano</t>
  </si>
  <si>
    <t xml:space="preserve">N GAL pat </t>
  </si>
  <si>
    <t xml:space="preserve">El corazón de las tinieblas </t>
  </si>
  <si>
    <t xml:space="preserve">Joseph Conrad</t>
  </si>
  <si>
    <t xml:space="preserve">La maravillosa vida breve de Óscar Wao</t>
  </si>
  <si>
    <t xml:space="preserve">Junot Díaz</t>
  </si>
  <si>
    <t xml:space="preserve">Testigo de raza: un negro en la Alemania nazi</t>
  </si>
  <si>
    <t xml:space="preserve">Hans j. Massaquoi</t>
  </si>
  <si>
    <t xml:space="preserve">Biografía</t>
  </si>
  <si>
    <t xml:space="preserve">El Rey Rata</t>
  </si>
  <si>
    <t xml:space="preserve">China Miéville</t>
  </si>
  <si>
    <t xml:space="preserve">N MIE rey</t>
  </si>
  <si>
    <t xml:space="preserve">-</t>
  </si>
  <si>
    <t xml:space="preserve">La batalla de Creta</t>
  </si>
  <si>
    <t xml:space="preserve">Antony Beevor</t>
  </si>
  <si>
    <t xml:space="preserve">94 BEE bat </t>
  </si>
  <si>
    <t xml:space="preserve">El conde-duque de Olivares</t>
  </si>
  <si>
    <t xml:space="preserve">J.H. Elliott</t>
  </si>
  <si>
    <t xml:space="preserve">Londres: una biografía</t>
  </si>
  <si>
    <t xml:space="preserve">Peter Ackroyd</t>
  </si>
  <si>
    <t xml:space="preserve">941 ACK lon </t>
  </si>
  <si>
    <t xml:space="preserve">Patria</t>
  </si>
  <si>
    <t xml:space="preserve">Robert Harris</t>
  </si>
  <si>
    <t xml:space="preserve">N HAR pat </t>
  </si>
  <si>
    <t xml:space="preserve">La aventura de las lenguas en Occidente</t>
  </si>
  <si>
    <t xml:space="preserve">Henriette Walter</t>
  </si>
  <si>
    <t xml:space="preserve">81(09) WAL ave </t>
  </si>
  <si>
    <t xml:space="preserve">La tercera ola</t>
  </si>
  <si>
    <t xml:space="preserve">Alvin Toffler</t>
  </si>
  <si>
    <t xml:space="preserve">008 TOF ter </t>
  </si>
  <si>
    <t xml:space="preserve">Interesante pero obsoleto</t>
  </si>
  <si>
    <t xml:space="preserve">Los santos inocentes </t>
  </si>
  <si>
    <t xml:space="preserve">Miguel Delibes</t>
  </si>
  <si>
    <t xml:space="preserve">N DEL san</t>
  </si>
  <si>
    <t xml:space="preserve">American Psycho</t>
  </si>
  <si>
    <t xml:space="preserve">Bret Easton Ellis</t>
  </si>
  <si>
    <t xml:space="preserve">N ELL ame</t>
  </si>
  <si>
    <t xml:space="preserve">La reina en el palacio de las corrientes de aire</t>
  </si>
  <si>
    <t xml:space="preserve">Los detectives salvajes</t>
  </si>
  <si>
    <t xml:space="preserve">N BOL det  </t>
  </si>
  <si>
    <t xml:space="preserve">Crónica de una muerte anunciada </t>
  </si>
  <si>
    <t xml:space="preserve">Gabriel García Márquez</t>
  </si>
  <si>
    <t xml:space="preserve">Los guerreros del oro: el tesoro de Yamashita y la financiación de la guerra fría</t>
  </si>
  <si>
    <t xml:space="preserve">Sterling y Peggy Seagrave</t>
  </si>
  <si>
    <t xml:space="preserve">343 SEA gue </t>
  </si>
  <si>
    <t xml:space="preserve">El hombre en el castillo</t>
  </si>
  <si>
    <t xml:space="preserve">Philip K. Dick</t>
  </si>
  <si>
    <t xml:space="preserve">N DIC hom </t>
  </si>
  <si>
    <t xml:space="preserve">La caida del museo británico </t>
  </si>
  <si>
    <t xml:space="preserve">David Lodge</t>
  </si>
  <si>
    <t xml:space="preserve">N LOD cai</t>
  </si>
  <si>
    <t xml:space="preserve">Matadero cinco o La cruzada de los niños </t>
  </si>
  <si>
    <t xml:space="preserve">Kurt Vonnegut</t>
  </si>
  <si>
    <t xml:space="preserve">N VON mat</t>
  </si>
  <si>
    <t xml:space="preserve">Microcosmos : cuatro mil millones de años de evolución desde nuestros ancestros microbianos</t>
  </si>
  <si>
    <t xml:space="preserve">Lynn Margulis</t>
  </si>
  <si>
    <t xml:space="preserve">575 MAR mic</t>
  </si>
  <si>
    <t xml:space="preserve">Cómo ser buenos</t>
  </si>
  <si>
    <t xml:space="preserve">N HOR com</t>
  </si>
  <si>
    <t xml:space="preserve">Amuleto</t>
  </si>
  <si>
    <t xml:space="preserve">Roberto Bolaño</t>
  </si>
  <si>
    <t xml:space="preserve">N BOL amu</t>
  </si>
  <si>
    <t xml:space="preserve">Historia de la Edad Media</t>
  </si>
  <si>
    <t xml:space="preserve">Indro Montanelli</t>
  </si>
  <si>
    <t xml:space="preserve">94 MON his </t>
  </si>
  <si>
    <t xml:space="preserve">La España imperial, 1469-1716</t>
  </si>
  <si>
    <t xml:space="preserve">946 ELL esp </t>
  </si>
  <si>
    <t xml:space="preserve">Paginas efectivas leídas</t>
  </si>
  <si>
    <t xml:space="preserve">Libro Leido?</t>
  </si>
  <si>
    <t xml:space="preserve">Autor leido?</t>
  </si>
  <si>
    <t xml:space="preserve">El Proceso</t>
  </si>
  <si>
    <t xml:space="preserve">Franz Kafka</t>
  </si>
  <si>
    <t xml:space="preserve">Simon´s cat</t>
  </si>
  <si>
    <t xml:space="preserve">Simon Tofield</t>
  </si>
  <si>
    <t xml:space="preserve">Comic</t>
  </si>
  <si>
    <t xml:space="preserve">Diario : una novela </t>
  </si>
  <si>
    <t xml:space="preserve">Chuck Palahniuk</t>
  </si>
  <si>
    <t xml:space="preserve">N PAL dia </t>
  </si>
  <si>
    <t xml:space="preserve">Hitler, la novela gráfica</t>
  </si>
  <si>
    <t xml:space="preserve">Shigeru Mizuki</t>
  </si>
  <si>
    <t xml:space="preserve">El año de la muerte de Ricardo Reis</t>
  </si>
  <si>
    <t xml:space="preserve">José Saramago</t>
  </si>
  <si>
    <t xml:space="preserve">N SAR año </t>
  </si>
  <si>
    <t xml:space="preserve">Pregúntale al polvo</t>
  </si>
  <si>
    <t xml:space="preserve">John Fante</t>
  </si>
  <si>
    <t xml:space="preserve">N FAN pre </t>
  </si>
  <si>
    <t xml:space="preserve">Crimen y castigo </t>
  </si>
  <si>
    <t xml:space="preserve">Fedor Dostoyevski </t>
  </si>
  <si>
    <t xml:space="preserve">N DOS cri </t>
  </si>
  <si>
    <t xml:space="preserve">Guía del Autoestopista Galáctico</t>
  </si>
  <si>
    <t xml:space="preserve">Douglas Adams</t>
  </si>
  <si>
    <t xml:space="preserve">ebook</t>
  </si>
  <si>
    <t xml:space="preserve">La carretera</t>
  </si>
  <si>
    <t xml:space="preserve">Cormac McCarthy</t>
  </si>
  <si>
    <t xml:space="preserve">Q</t>
  </si>
  <si>
    <t xml:space="preserve">Luther Blissett</t>
  </si>
  <si>
    <t xml:space="preserve">La aventura de los godos</t>
  </si>
  <si>
    <t xml:space="preserve">Juan Antonio Cebrián</t>
  </si>
  <si>
    <t xml:space="preserve">La mula</t>
  </si>
  <si>
    <t xml:space="preserve">Juan Eslava Galán</t>
  </si>
  <si>
    <t xml:space="preserve">Marte Rojo</t>
  </si>
  <si>
    <t xml:space="preserve">Kim Stanley Robinson</t>
  </si>
  <si>
    <t xml:space="preserve">Bueno para comer</t>
  </si>
  <si>
    <t xml:space="preserve">Marvin Harris</t>
  </si>
  <si>
    <t xml:space="preserve">Antropología</t>
  </si>
  <si>
    <t xml:space="preserve">Historia de España</t>
  </si>
  <si>
    <t xml:space="preserve">Pierre Vilar</t>
  </si>
  <si>
    <t xml:space="preserve">San Manuel Bueno, mártir</t>
  </si>
  <si>
    <t xml:space="preserve">Miguel de Unamuno</t>
  </si>
  <si>
    <t xml:space="preserve">La era del diamante</t>
  </si>
  <si>
    <t xml:space="preserve">Neal Stephenson</t>
  </si>
  <si>
    <t xml:space="preserve">El alma está en el cerebro</t>
  </si>
  <si>
    <t xml:space="preserve">Eduard Punset</t>
  </si>
  <si>
    <t xml:space="preserve">La guerra civil española</t>
  </si>
  <si>
    <t xml:space="preserve">Enigmas de la historia</t>
  </si>
  <si>
    <t xml:space="preserve">Jeremy Taylor</t>
  </si>
  <si>
    <t xml:space="preserve">Nuestra especie</t>
  </si>
  <si>
    <t xml:space="preserve">La pista de hielo</t>
  </si>
  <si>
    <t xml:space="preserve">Cadaveres bien parecidos</t>
  </si>
  <si>
    <t xml:space="preserve">Jordi Sierra i Fabra</t>
  </si>
  <si>
    <t xml:space="preserve">Musica</t>
  </si>
  <si>
    <t xml:space="preserve">Stalingrado</t>
  </si>
  <si>
    <t xml:space="preserve">El Reich de los mil años</t>
  </si>
  <si>
    <t xml:space="preserve">Jesús Hernández</t>
  </si>
  <si>
    <t xml:space="preserve">Berlin 1945: La caída</t>
  </si>
  <si>
    <t xml:space="preserve">La costa de los diamantes</t>
  </si>
  <si>
    <t xml:space="preserve">Jack du Brul</t>
  </si>
  <si>
    <t xml:space="preserve">Guía de Supervivencia Zombie</t>
  </si>
  <si>
    <t xml:space="preserve">Max Brooks</t>
  </si>
  <si>
    <t xml:space="preserve">Snuff</t>
  </si>
  <si>
    <t xml:space="preserve">Crónica del rey pasmado</t>
  </si>
  <si>
    <t xml:space="preserve">Gonzalo Torrente Ballester</t>
  </si>
  <si>
    <t xml:space="preserve">Historia de los griegos</t>
  </si>
  <si>
    <t xml:space="preserve">El guardián del vergel</t>
  </si>
  <si>
    <t xml:space="preserve">Solaris</t>
  </si>
  <si>
    <t xml:space="preserve">Stanislaw Lem</t>
  </si>
  <si>
    <t xml:space="preserve">Marte Verde</t>
  </si>
  <si>
    <t xml:space="preserve">Raymond Carr </t>
  </si>
  <si>
    <t xml:space="preserve">Europa dividida</t>
  </si>
  <si>
    <t xml:space="preserve">El ruido y la furia</t>
  </si>
  <si>
    <t xml:space="preserve">William Faulkner</t>
  </si>
  <si>
    <t xml:space="preserve">¿Tenían Adán y Eva ombligo?</t>
  </si>
  <si>
    <t xml:space="preserve">Martin Gardner</t>
  </si>
  <si>
    <t xml:space="preserve">La virgen de los sicarios</t>
  </si>
  <si>
    <t xml:space="preserve">Fernando Vallejo</t>
  </si>
  <si>
    <t xml:space="preserve">N VAL vir</t>
  </si>
  <si>
    <t xml:space="preserve">Magallanes</t>
  </si>
  <si>
    <t xml:space="preserve">Stefan Zweig</t>
  </si>
  <si>
    <t xml:space="preserve">La España visigoda: 409-711 </t>
  </si>
  <si>
    <t xml:space="preserve">Roger Collins</t>
  </si>
  <si>
    <t xml:space="preserve">Putas asesinas</t>
  </si>
  <si>
    <t xml:space="preserve">Relatos</t>
  </si>
  <si>
    <t xml:space="preserve">El día que España derrotó a Inglaterra</t>
  </si>
  <si>
    <t xml:space="preserve">Pablo Victoria</t>
  </si>
  <si>
    <t xml:space="preserve">Cosmos</t>
  </si>
  <si>
    <t xml:space="preserve">Carl Sagan</t>
  </si>
  <si>
    <t xml:space="preserve">Socorrismo</t>
  </si>
  <si>
    <t xml:space="preserve">Antonio Luque</t>
  </si>
  <si>
    <t xml:space="preserve">Hágalo usted mismo</t>
  </si>
  <si>
    <t xml:space="preserve">Andy Riley</t>
  </si>
  <si>
    <t xml:space="preserve">Doctor Pasavento</t>
  </si>
  <si>
    <t xml:space="preserve">Enrique Vila-Matas</t>
  </si>
  <si>
    <t xml:space="preserve">Breve historia de la química</t>
  </si>
  <si>
    <t xml:space="preserve">Isaac Asimov</t>
  </si>
  <si>
    <t xml:space="preserve">El hombre que confundió a su mujer con un sombrero</t>
  </si>
  <si>
    <t xml:space="preserve">N SAC hom </t>
  </si>
  <si>
    <t xml:space="preserve">La madre</t>
  </si>
  <si>
    <t xml:space="preserve">Máximo Gorki</t>
  </si>
  <si>
    <t xml:space="preserve">Snow Crash</t>
  </si>
  <si>
    <t xml:space="preserve">Historia de Roma</t>
  </si>
  <si>
    <t xml:space="preserve">Zodiac</t>
  </si>
  <si>
    <t xml:space="preserve">Los egipcios</t>
  </si>
  <si>
    <t xml:space="preserve">Cyril Aldred</t>
  </si>
  <si>
    <t xml:space="preserve">En caída libre</t>
  </si>
  <si>
    <t xml:space="preserve">Lois Mcmaster Bujold</t>
  </si>
  <si>
    <t xml:space="preserve">En el camino</t>
  </si>
  <si>
    <t xml:space="preserve">Jack Kerouac</t>
  </si>
  <si>
    <t xml:space="preserve">Estadísticas</t>
  </si>
  <si>
    <t xml:space="preserve">Nº Páginas Leídas</t>
  </si>
  <si>
    <t xml:space="preserve">Libros Leídos</t>
  </si>
  <si>
    <t xml:space="preserve">Media páginas por libro</t>
  </si>
  <si>
    <t xml:space="preserve">Autor más leido</t>
  </si>
  <si>
    <t xml:space="preserve">Tipo más leido</t>
  </si>
  <si>
    <t xml:space="preserve">Num leidos</t>
  </si>
  <si>
    <t xml:space="preserve">Política de hechos consumados</t>
  </si>
  <si>
    <t xml:space="preserve">Nacho Vegas</t>
  </si>
  <si>
    <t xml:space="preserve">Revista Orsai</t>
  </si>
  <si>
    <t xml:space="preserve">Varios</t>
  </si>
  <si>
    <t xml:space="preserve">Revista</t>
  </si>
  <si>
    <t xml:space="preserve">El Misterio De Los Hititas</t>
  </si>
  <si>
    <t xml:space="preserve">C. W Ceram</t>
  </si>
  <si>
    <t xml:space="preserve">Ciclo Barroco: Azogue</t>
  </si>
  <si>
    <t xml:space="preserve">Los Simpson y la filosofía</t>
  </si>
  <si>
    <t xml:space="preserve">Ciclo Barroco: El rey de los vagabundos</t>
  </si>
  <si>
    <t xml:space="preserve">La historia del mundo en seis tragos</t>
  </si>
  <si>
    <t xml:space="preserve">Tom Standage</t>
  </si>
  <si>
    <t xml:space="preserve">Guía Total Berlín</t>
  </si>
  <si>
    <t xml:space="preserve">Guía</t>
  </si>
  <si>
    <t xml:space="preserve">La peste negra</t>
  </si>
  <si>
    <t xml:space="preserve">Luis Miguel Guerra</t>
  </si>
  <si>
    <t xml:space="preserve">Ciclo Barroco: Odalisca</t>
  </si>
  <si>
    <t xml:space="preserve">Un general confederado de Big Sur</t>
  </si>
  <si>
    <t xml:space="preserve">Richard Brautigan</t>
  </si>
  <si>
    <t xml:space="preserve">Diarios de Bicicleta</t>
  </si>
  <si>
    <t xml:space="preserve">David Byrne</t>
  </si>
  <si>
    <t xml:space="preserve">Diario</t>
  </si>
  <si>
    <t xml:space="preserve">Hermanos de Sangre</t>
  </si>
  <si>
    <t xml:space="preserve">Stephen Ambrose</t>
  </si>
  <si>
    <t xml:space="preserve">Esperándolo a Tito y otros cuentos</t>
  </si>
  <si>
    <t xml:space="preserve">Eduardo Sacheri</t>
  </si>
  <si>
    <t xml:space="preserve">Cuentos-Futbol</t>
  </si>
  <si>
    <t xml:space="preserve">Septiembre Zombie</t>
  </si>
  <si>
    <t xml:space="preserve">David Moodie</t>
  </si>
  <si>
    <t xml:space="preserve">Los bajos fondos de la antigüedad</t>
  </si>
  <si>
    <t xml:space="preserve">Catherine Salles</t>
  </si>
  <si>
    <t xml:space="preserve">Los descubridores</t>
  </si>
  <si>
    <t xml:space="preserve">Daniel J. Boorstin</t>
  </si>
  <si>
    <t xml:space="preserve">Indignaos</t>
  </si>
  <si>
    <t xml:space="preserve">Stephane Hessel</t>
  </si>
  <si>
    <t xml:space="preserve">Ciclo Barroco: La Confusión I - Juncto</t>
  </si>
  <si>
    <t xml:space="preserve">Ciclo Barroco: La Confusión II - Bonanza</t>
  </si>
  <si>
    <t xml:space="preserve">Revista Orsai II</t>
  </si>
  <si>
    <t xml:space="preserve">Los sinsabores del verdadero policía</t>
  </si>
  <si>
    <t xml:space="preserve">Apocalipsis Z</t>
  </si>
  <si>
    <t xml:space="preserve">Manuel Loureiro</t>
  </si>
  <si>
    <t xml:space="preserve">Un ejercito al amanecer</t>
  </si>
  <si>
    <t xml:space="preserve">Rick Atkinson</t>
  </si>
  <si>
    <t xml:space="preserve">Omega</t>
  </si>
  <si>
    <t xml:space="preserve">Bruno Galindo</t>
  </si>
  <si>
    <t xml:space="preserve">Los últimos cien días</t>
  </si>
  <si>
    <t xml:space="preserve">John Toland</t>
  </si>
  <si>
    <t xml:space="preserve">El disco que casi acaba con Los Planetas</t>
  </si>
  <si>
    <t xml:space="preserve">Nando Cruz</t>
  </si>
  <si>
    <t xml:space="preserve">El día D</t>
  </si>
  <si>
    <t xml:space="preserve">Anthony Beevor</t>
  </si>
  <si>
    <t xml:space="preserve">El nazismo (1918-1945)</t>
  </si>
  <si>
    <t xml:space="preserve">Michael J. Thornton</t>
  </si>
  <si>
    <t xml:space="preserve">Mecanoscrito del segundo origen</t>
  </si>
  <si>
    <t xml:space="preserve">Manuel de Pedrolo</t>
  </si>
  <si>
    <t xml:space="preserve">Franco</t>
  </si>
  <si>
    <t xml:space="preserve">Paul Preston</t>
  </si>
  <si>
    <t xml:space="preserve">Revista Orsai III</t>
  </si>
  <si>
    <t xml:space="preserve">A través de Marte</t>
  </si>
  <si>
    <t xml:space="preserve">Geoffrey A. Landis</t>
  </si>
  <si>
    <t xml:space="preserve">El gran diseño</t>
  </si>
  <si>
    <t xml:space="preserve">Stephen Hawking</t>
  </si>
  <si>
    <t xml:space="preserve">El día de los trífidos</t>
  </si>
  <si>
    <t xml:space="preserve">John Wyndham</t>
  </si>
  <si>
    <t xml:space="preserve">La partícula divina</t>
  </si>
  <si>
    <t xml:space="preserve">Leo Lederman</t>
  </si>
  <si>
    <t xml:space="preserve">Error Humano</t>
  </si>
  <si>
    <t xml:space="preserve">Marte azul</t>
  </si>
  <si>
    <t xml:space="preserve">Pigmeo</t>
  </si>
  <si>
    <t xml:space="preserve">Isaac Newton: Una vida</t>
  </si>
  <si>
    <t xml:space="preserve">Richard Westfall</t>
  </si>
  <si>
    <t xml:space="preserve">La cultura: todo lo que hay que saber</t>
  </si>
  <si>
    <t xml:space="preserve">Dietrich Schwanitz</t>
  </si>
  <si>
    <t xml:space="preserve">Ciclo Barroco: El Sistema del Mundo I - El oro de Salomón</t>
  </si>
  <si>
    <t xml:space="preserve">Las guerras de Napoleón</t>
  </si>
  <si>
    <t xml:space="preserve">Charles Esdaile</t>
  </si>
  <si>
    <t xml:space="preserve">Mossad. La historia secreta</t>
  </si>
  <si>
    <t xml:space="preserve">Gordon Thomas</t>
  </si>
  <si>
    <t xml:space="preserve">La gran guerra por la civilización</t>
  </si>
  <si>
    <t xml:space="preserve">Robert Fisk</t>
  </si>
  <si>
    <t xml:space="preserve">Todo por una chica</t>
  </si>
  <si>
    <t xml:space="preserve">En el principio fue la línea de comandos</t>
  </si>
  <si>
    <t xml:space="preserve">Historia del tiempo</t>
  </si>
  <si>
    <t xml:space="preserve">Revista Orsai IV</t>
  </si>
  <si>
    <t xml:space="preserve">Wu-ming</t>
  </si>
  <si>
    <t xml:space="preserve">Porno</t>
  </si>
  <si>
    <t xml:space="preserve">Irvine Welsh</t>
  </si>
  <si>
    <t xml:space="preserve">En casa</t>
  </si>
  <si>
    <t xml:space="preserve">Bill Bryson</t>
  </si>
  <si>
    <t xml:space="preserve">Divulgación</t>
  </si>
  <si>
    <t xml:space="preserve">La Habana para un infante difunto</t>
  </si>
  <si>
    <t xml:space="preserve">Guillermo Cabrera Infante</t>
  </si>
  <si>
    <t xml:space="preserve">Mata a tus idolos</t>
  </si>
  <si>
    <t xml:space="preserve">Luc Sante</t>
  </si>
  <si>
    <t xml:space="preserve">Cerdeña</t>
  </si>
  <si>
    <t xml:space="preserve">Superviviente</t>
  </si>
  <si>
    <t xml:space="preserve">Chuck Palaniuk</t>
  </si>
  <si>
    <t xml:space="preserve">Revista Panenka #5</t>
  </si>
  <si>
    <t xml:space="preserve">Los niños del Brasil</t>
  </si>
  <si>
    <t xml:space="preserve">Ira Levin</t>
  </si>
  <si>
    <t xml:space="preserve">La estrategia del perro loco</t>
  </si>
  <si>
    <t xml:space="preserve">Iñigo Sáenz de Ugarte</t>
  </si>
  <si>
    <t xml:space="preserve">Anatema</t>
  </si>
  <si>
    <t xml:space="preserve">Fargo Rock City</t>
  </si>
  <si>
    <t xml:space="preserve">Chuck Klosterman</t>
  </si>
  <si>
    <t xml:space="preserve">Los Creadores</t>
  </si>
  <si>
    <t xml:space="preserve">Dinero</t>
  </si>
  <si>
    <t xml:space="preserve">Aristófanes</t>
  </si>
  <si>
    <t xml:space="preserve">Teatro</t>
  </si>
  <si>
    <t xml:space="preserve">Todos los hombres del Führer</t>
  </si>
  <si>
    <t xml:space="preserve">Ferran Gallego</t>
  </si>
  <si>
    <t xml:space="preserve">La odisea</t>
  </si>
  <si>
    <t xml:space="preserve">Homero</t>
  </si>
  <si>
    <t xml:space="preserve">Epopeya</t>
  </si>
  <si>
    <t xml:space="preserve">Tierra de sal y arroz</t>
  </si>
  <si>
    <t xml:space="preserve">Del concilio al black power</t>
  </si>
  <si>
    <t xml:space="preserve">JdJ</t>
  </si>
  <si>
    <t xml:space="preserve">Jugadores</t>
  </si>
  <si>
    <t xml:space="preserve">Don DeLillo</t>
  </si>
  <si>
    <t xml:space="preserve">Macbeth</t>
  </si>
  <si>
    <t xml:space="preserve">William Shakespeare</t>
  </si>
  <si>
    <t xml:space="preserve">Hamlet</t>
  </si>
  <si>
    <t xml:space="preserve">El origen de las especies</t>
  </si>
  <si>
    <t xml:space="preserve">Charles Darwin</t>
  </si>
  <si>
    <t xml:space="preserve">(Tschai 01) Los Chasch</t>
  </si>
  <si>
    <t xml:space="preserve">Jack Vance</t>
  </si>
  <si>
    <t xml:space="preserve">(Tschai 02) Los Wankh</t>
  </si>
  <si>
    <t xml:space="preserve">(Tschai 03) Los Dirdir</t>
  </si>
  <si>
    <t xml:space="preserve">(Tschai 04) Los Pnume</t>
  </si>
  <si>
    <t xml:space="preserve">Amalur: del átomo a la mente</t>
  </si>
  <si>
    <t xml:space="preserve">Juan Luis Arsuaga y Ignacio Martinez</t>
  </si>
  <si>
    <t xml:space="preserve">A treinta días del poder</t>
  </si>
  <si>
    <t xml:space="preserve">Henry A. Turner</t>
  </si>
  <si>
    <t xml:space="preserve">La Plaga</t>
  </si>
  <si>
    <t xml:space="preserve">Jeff Carlson</t>
  </si>
  <si>
    <t xml:space="preserve">Cien años de soledad</t>
  </si>
  <si>
    <t xml:space="preserve">Gabriel García-Marquez</t>
  </si>
  <si>
    <t xml:space="preserve">Simiocracia</t>
  </si>
  <si>
    <t xml:space="preserve">Alex Sailó</t>
  </si>
  <si>
    <t xml:space="preserve">La benévolas</t>
  </si>
  <si>
    <t xml:space="preserve">Jonathan Littell</t>
  </si>
  <si>
    <t xml:space="preserve">Hyperion</t>
  </si>
  <si>
    <t xml:space="preserve">Dan Simmons</t>
  </si>
  <si>
    <t xml:space="preserve">El mundo de Rocannon</t>
  </si>
  <si>
    <t xml:space="preserve">Ursula K. Le Guin</t>
  </si>
  <si>
    <t xml:space="preserve">Eichmann en Jerusalen</t>
  </si>
  <si>
    <t xml:space="preserve">Hannah Arendt</t>
  </si>
  <si>
    <t xml:space="preserve">Fragmentos de Honor</t>
  </si>
  <si>
    <t xml:space="preserve">Barrayar</t>
  </si>
  <si>
    <t xml:space="preserve">Stalin</t>
  </si>
  <si>
    <t xml:space="preserve">Ian Grey</t>
  </si>
  <si>
    <t xml:space="preserve">American Gods</t>
  </si>
  <si>
    <t xml:space="preserve">Neil Gaiman</t>
  </si>
  <si>
    <t xml:space="preserve">La primera y la última humanidad</t>
  </si>
  <si>
    <t xml:space="preserve">Olaf Stapledon</t>
  </si>
  <si>
    <t xml:space="preserve">Un gran chico</t>
  </si>
  <si>
    <t xml:space="preserve">La caída de Hyperion</t>
  </si>
  <si>
    <t xml:space="preserve">Col recalentada</t>
  </si>
  <si>
    <t xml:space="preserve">El jardín colgante</t>
  </si>
  <si>
    <t xml:space="preserve">Javier Calvo</t>
  </si>
  <si>
    <t xml:space="preserve">Verdes Valles, Colinas Rojas: La tierra convulsa</t>
  </si>
  <si>
    <t xml:space="preserve">Ramiro Pinilla</t>
  </si>
  <si>
    <t xml:space="preserve">Revista Libero #2</t>
  </si>
  <si>
    <t xml:space="preserve">Sobre Camarón</t>
  </si>
  <si>
    <t xml:space="preserve">Carlos Lencero</t>
  </si>
  <si>
    <t xml:space="preserve">Monstruos invisibles</t>
  </si>
  <si>
    <t xml:space="preserve">Planeta Gigante</t>
  </si>
  <si>
    <t xml:space="preserve">Corona de flores</t>
  </si>
  <si>
    <t xml:space="preserve">Little brother</t>
  </si>
  <si>
    <t xml:space="preserve">Cory Doctorow</t>
  </si>
  <si>
    <t xml:space="preserve">Pedro Páramo;El llano en llamas</t>
  </si>
  <si>
    <t xml:space="preserve">Juan Rulfo</t>
  </si>
  <si>
    <t xml:space="preserve">Ulises</t>
  </si>
  <si>
    <t xml:space="preserve">James Joyce</t>
  </si>
  <si>
    <t xml:space="preserve">Diccionario del Diablo</t>
  </si>
  <si>
    <t xml:space="preserve">Ambrose Bierce</t>
  </si>
  <si>
    <t xml:space="preserve">Johnny got his gun</t>
  </si>
  <si>
    <t xml:space="preserve">Dalton Trumbo</t>
  </si>
  <si>
    <t xml:space="preserve">Nuestras hermanas las ratas</t>
  </si>
  <si>
    <t xml:space="preserve">Michel Dansel</t>
  </si>
  <si>
    <t xml:space="preserve">Bolaño salvaje</t>
  </si>
  <si>
    <t xml:space="preserve">Historia de la Inquisición</t>
  </si>
  <si>
    <t xml:space="preserve">Primitivo Martínez</t>
  </si>
  <si>
    <t xml:space="preserve">Nuestros orígenes</t>
  </si>
  <si>
    <t xml:space="preserve">Richard Leakey</t>
  </si>
  <si>
    <t xml:space="preserve">El libro de las ilusiones</t>
  </si>
  <si>
    <t xml:space="preserve">Paul Auster</t>
  </si>
  <si>
    <t xml:space="preserve">La búsqueda de la lengua perfecta</t>
  </si>
  <si>
    <t xml:space="preserve">Umberto Eco</t>
  </si>
  <si>
    <t xml:space="preserve">La insurrección que viene</t>
  </si>
  <si>
    <t xml:space="preserve">Comité invisible</t>
  </si>
  <si>
    <t xml:space="preserve">Revista JotDown #1</t>
  </si>
  <si>
    <t xml:space="preserve">El Alamein</t>
  </si>
  <si>
    <t xml:space="preserve">Jon Latimer</t>
  </si>
  <si>
    <t xml:space="preserve">Los buenos soldados</t>
  </si>
  <si>
    <t xml:space="preserve">David Finkel</t>
  </si>
  <si>
    <t xml:space="preserve">Reamde</t>
  </si>
  <si>
    <t xml:space="preserve">El tercer reich</t>
  </si>
  <si>
    <t xml:space="preserve">Exitus</t>
  </si>
  <si>
    <t xml:space="preserve">El sueño de una noche de verano</t>
  </si>
  <si>
    <t xml:space="preserve">El ávaro</t>
  </si>
  <si>
    <t xml:space="preserve">Moliere</t>
  </si>
  <si>
    <t xml:space="preserve">Anabasis</t>
  </si>
  <si>
    <t xml:space="preserve">Jenofonte</t>
  </si>
  <si>
    <t xml:space="preserve">Atenas clásica</t>
  </si>
  <si>
    <t xml:space="preserve">Peter Funke</t>
  </si>
  <si>
    <t xml:space="preserve">La orestiada</t>
  </si>
  <si>
    <t xml:space="preserve">Esquilo</t>
  </si>
  <si>
    <t xml:space="preserve">Guerra Mundial Z</t>
  </si>
  <si>
    <t xml:space="preserve">Juego de tronos (Canción de hielo y fuego 1)</t>
  </si>
  <si>
    <t xml:space="preserve">George R.R. Martin</t>
  </si>
  <si>
    <t xml:space="preserve">Victus</t>
  </si>
  <si>
    <t xml:space="preserve">Bodas de Sangre</t>
  </si>
  <si>
    <t xml:space="preserve">Federico García Lorca</t>
  </si>
  <si>
    <t xml:space="preserve">Yerma</t>
  </si>
  <si>
    <t xml:space="preserve">Los hombres mojados no temen a la lluvia</t>
  </si>
  <si>
    <t xml:space="preserve">Juan Madrid</t>
  </si>
  <si>
    <t xml:space="preserve">La colmena</t>
  </si>
  <si>
    <t xml:space="preserve">Camilo Jose Cela</t>
  </si>
  <si>
    <t xml:space="preserve">Choque de reyes (Canción de hielo y fuego 2)</t>
  </si>
  <si>
    <t xml:space="preserve">Tormenta de Espadas (Canción de hielo y fuego 3)</t>
  </si>
  <si>
    <t xml:space="preserve">Festín de Cuervos (Canción de hielo y fuego 4)</t>
  </si>
  <si>
    <t xml:space="preserve">Danza de Dragones (Canción de hielo y fuego 5)</t>
  </si>
  <si>
    <t xml:space="preserve">Historia de la edad media</t>
  </si>
  <si>
    <t xml:space="preserve">Lo que no está escrito</t>
  </si>
  <si>
    <t xml:space="preserve">Rafael Reig</t>
  </si>
  <si>
    <t xml:space="preserve">(Memorias 1) La segunda guerra mundial (Vol I)</t>
  </si>
  <si>
    <t xml:space="preserve">Winston Churchill</t>
  </si>
  <si>
    <t xml:space="preserve">Shakespeare</t>
  </si>
  <si>
    <t xml:space="preserve">Honrarás a tu padre</t>
  </si>
  <si>
    <t xml:space="preserve">Gay Talese</t>
  </si>
  <si>
    <t xml:space="preserve">Año</t>
  </si>
  <si>
    <t xml:space="preserve">Mongoliad</t>
  </si>
  <si>
    <t xml:space="preserve">Delicioso suicidio en grupo</t>
  </si>
  <si>
    <t xml:space="preserve">Arto Paasilinna</t>
  </si>
  <si>
    <t xml:space="preserve">El año mil</t>
  </si>
  <si>
    <t xml:space="preserve">George Duby</t>
  </si>
  <si>
    <t xml:space="preserve">Un mapa en la cabeza</t>
  </si>
  <si>
    <t xml:space="preserve">Ken Jennings</t>
  </si>
  <si>
    <t xml:space="preserve">Crónicas de la mafia</t>
  </si>
  <si>
    <t xml:space="preserve">Iñigo Domínguez</t>
  </si>
  <si>
    <t xml:space="preserve">Amanece que no es poco</t>
  </si>
  <si>
    <t xml:space="preserve">Jose Luis Cuerda</t>
  </si>
  <si>
    <t xml:space="preserve">Los caminantes</t>
  </si>
  <si>
    <t xml:space="preserve">Carlos Sisi</t>
  </si>
  <si>
    <t xml:space="preserve">La última batalla</t>
  </si>
  <si>
    <t xml:space="preserve">Eric Hobsbawm</t>
  </si>
  <si>
    <t xml:space="preserve">En las antípodas</t>
  </si>
  <si>
    <t xml:space="preserve">Carlomagno</t>
  </si>
  <si>
    <t xml:space="preserve">Harold Lamb</t>
  </si>
  <si>
    <t xml:space="preserve">La guerra del Peloponeso</t>
  </si>
  <si>
    <t xml:space="preserve">Donald Kagan</t>
  </si>
  <si>
    <t xml:space="preserve">Fundación</t>
  </si>
  <si>
    <t xml:space="preserve">Fundación e Imperio</t>
  </si>
  <si>
    <t xml:space="preserve">Quemando cromo</t>
  </si>
  <si>
    <t xml:space="preserve">William Gibson</t>
  </si>
  <si>
    <t xml:space="preserve">El marciano</t>
  </si>
  <si>
    <t xml:space="preserve">Andy Weir</t>
  </si>
  <si>
    <t xml:space="preserve">Verdes valles, colinas rojas 2: Los cuerpos desnudos</t>
  </si>
  <si>
    <t xml:space="preserve">Verdes valles, colinas rojas 3: Las cenizas del hierro</t>
  </si>
  <si>
    <t xml:space="preserve">La guerra civil española 1</t>
  </si>
  <si>
    <t xml:space="preserve">Hugh Thomas</t>
  </si>
  <si>
    <t xml:space="preserve">La guerra civil española 2</t>
  </si>
  <si>
    <t xml:space="preserve">El hombre anumérico</t>
  </si>
  <si>
    <t xml:space="preserve">John Paulos</t>
  </si>
  <si>
    <t xml:space="preserve">La piel</t>
  </si>
  <si>
    <t xml:space="preserve">Curzio Malaparte</t>
  </si>
  <si>
    <t xml:space="preserve">Crónicas del multiverso</t>
  </si>
  <si>
    <t xml:space="preserve">Victor Conde</t>
  </si>
  <si>
    <t xml:space="preserve">El disputado voto del señor Cayo</t>
  </si>
  <si>
    <t xml:space="preserve">Vientos de guerra</t>
  </si>
  <si>
    <t xml:space="preserve">Steven Pressfield</t>
  </si>
  <si>
    <t xml:space="preserve">La sombra del ciprés es alargada</t>
  </si>
  <si>
    <t xml:space="preserve">A las armas</t>
  </si>
  <si>
    <t xml:space="preserve">Quique Peinado</t>
  </si>
  <si>
    <t xml:space="preserve">Alpha Centauri, la estrella más próxima</t>
  </si>
  <si>
    <t xml:space="preserve">El dolor de un principe</t>
  </si>
  <si>
    <t xml:space="preserve">Francisco Peregil</t>
  </si>
  <si>
    <t xml:space="preserve">Música</t>
  </si>
  <si>
    <t xml:space="preserve">Yo, robot</t>
  </si>
  <si>
    <t xml:space="preserve">Sci-fi</t>
  </si>
  <si>
    <t xml:space="preserve">El ladrón de cerebros</t>
  </si>
  <si>
    <t xml:space="preserve">Pere Estupinya</t>
  </si>
  <si>
    <t xml:space="preserve">Aquella edad inolvidable</t>
  </si>
  <si>
    <t xml:space="preserve">La verdad sobre el caso de Harry Quebert</t>
  </si>
  <si>
    <t xml:space="preserve">Joël Dicker</t>
  </si>
  <si>
    <t xml:space="preserve">Las crónicas perdidas de los reyes mayas</t>
  </si>
  <si>
    <t xml:space="preserve">David Drew</t>
  </si>
  <si>
    <t xml:space="preserve">Límite</t>
  </si>
  <si>
    <t xml:space="preserve">Frank Schazting</t>
  </si>
  <si>
    <t xml:space="preserve">Pistola y cuchillo</t>
  </si>
  <si>
    <t xml:space="preserve">Montero González</t>
  </si>
  <si>
    <t xml:space="preserve">Dientes de gallina y dedos de caballo</t>
  </si>
  <si>
    <t xml:space="preserve">Stephen Jay Gould</t>
  </si>
  <si>
    <t xml:space="preserve">Crematorio</t>
  </si>
  <si>
    <t xml:space="preserve">Rafael Chirbes</t>
  </si>
  <si>
    <t xml:space="preserve">La casa de Bernarda Alba</t>
  </si>
  <si>
    <t xml:space="preserve">Historia verdadera de la conquista de la Nueva España</t>
  </si>
  <si>
    <t xml:space="preserve">Bernar Diaz del Castillo</t>
  </si>
  <si>
    <t xml:space="preserve">Tubos</t>
  </si>
  <si>
    <t xml:space="preserve">Andrew Blum</t>
  </si>
  <si>
    <t xml:space="preserve">La primera guerra mundial</t>
  </si>
  <si>
    <t xml:space="preserve">Martin Gilbert</t>
  </si>
  <si>
    <t xml:space="preserve">Los santos inocentes</t>
  </si>
  <si>
    <t xml:space="preserve">Hindenburg</t>
  </si>
  <si>
    <t xml:space="preserve">Emil Ludwig</t>
  </si>
  <si>
    <t xml:space="preserve">Rabia</t>
  </si>
  <si>
    <t xml:space="preserve">Stephen King</t>
  </si>
  <si>
    <t xml:space="preserve">¿Porqué me comprastéis un walkie-talkie si era hijo único?</t>
  </si>
  <si>
    <t xml:space="preserve">Santi Balmes</t>
  </si>
  <si>
    <t xml:space="preserve">Polvo eres: peripecias y extravagancias de algunos cadaveres inqu ietos</t>
  </si>
  <si>
    <t xml:space="preserve">La civilización romana</t>
  </si>
  <si>
    <t xml:space="preserve">Pierre Grimal</t>
  </si>
  <si>
    <t xml:space="preserve">El imperio español: de Colón a Magallanes</t>
  </si>
  <si>
    <t xml:space="preserve">HhhH</t>
  </si>
  <si>
    <t xml:space="preserve">Laurent Binet</t>
  </si>
  <si>
    <t xml:space="preserve">Fariña</t>
  </si>
  <si>
    <t xml:space="preserve">Nacho Carretero</t>
  </si>
  <si>
    <t xml:space="preserve">El Bajo Imperio romano (284-430 d. de C.)</t>
  </si>
  <si>
    <t xml:space="preserve">Averil Cameron</t>
  </si>
  <si>
    <t xml:space="preserve">Manual del Perfecto Festivalero</t>
  </si>
  <si>
    <t xml:space="preserve">Manuel Bartual</t>
  </si>
  <si>
    <t xml:space="preserve">Ojo en el cielo</t>
  </si>
  <si>
    <t xml:space="preserve">Philip K.Dick</t>
  </si>
  <si>
    <t xml:space="preserve">091: aullidos, corazones y guitarras</t>
  </si>
  <si>
    <t xml:space="preserve">Juan Jesús García</t>
  </si>
  <si>
    <t xml:space="preserve">Monsieur Pain</t>
  </si>
  <si>
    <t xml:space="preserve">Soy leyenda</t>
  </si>
  <si>
    <t xml:space="preserve">Richard Matheson</t>
  </si>
  <si>
    <t xml:space="preserve">Amberes</t>
  </si>
  <si>
    <t xml:space="preserve">Los propios dioses</t>
  </si>
  <si>
    <t xml:space="preserve">El libro del cementerio</t>
  </si>
  <si>
    <t xml:space="preserve">Estación de tránsito</t>
  </si>
  <si>
    <t xml:space="preserve">Clifford D. Simack</t>
  </si>
  <si>
    <t xml:space="preserve">Endymion</t>
  </si>
  <si>
    <t xml:space="preserve">El ascenso de Endymion</t>
  </si>
  <si>
    <t xml:space="preserve">Huérfanos de la hélice</t>
  </si>
  <si>
    <t xml:space="preserve">Espacio revelación</t>
  </si>
  <si>
    <t xml:space="preserve">Alistair Reynolds</t>
  </si>
  <si>
    <t xml:space="preserve">Polvo eres II: muertes estelares de la humanidad</t>
  </si>
  <si>
    <t xml:space="preserve">Postguerra</t>
  </si>
  <si>
    <t xml:space="preserve">Tony Judt</t>
  </si>
  <si>
    <t xml:space="preserve">La cruzada del sur</t>
  </si>
  <si>
    <t xml:space="preserve">Juan Antonio Cebrian</t>
  </si>
  <si>
    <t xml:space="preserve">Mystes</t>
  </si>
  <si>
    <t xml:space="preserve">Plenilunio</t>
  </si>
  <si>
    <t xml:space="preserve">Antonio Muñoz Molina</t>
  </si>
  <si>
    <t xml:space="preserve">Seveneves</t>
  </si>
  <si>
    <t xml:space="preserve">Temerario I. El dragón de su majestad</t>
  </si>
  <si>
    <t xml:space="preserve">Naomi Novik</t>
  </si>
  <si>
    <t xml:space="preserve">El ojo del mundo</t>
  </si>
  <si>
    <t xml:space="preserve">Robert Jordan</t>
  </si>
  <si>
    <t xml:space="preserve">SPQR</t>
  </si>
  <si>
    <t xml:space="preserve">Mary Beard</t>
  </si>
  <si>
    <t xml:space="preserve">Roma eterna</t>
  </si>
  <si>
    <t xml:space="preserve">Robert Silverberg</t>
  </si>
  <si>
    <t xml:space="preserve">1927: un verano que cambió el mundo</t>
  </si>
  <si>
    <t xml:space="preserve">El despertar de los héroes</t>
  </si>
  <si>
    <t xml:space="preserve">Cosas que los nietos deberían saber</t>
  </si>
  <si>
    <t xml:space="preserve">Mark Oliver Everett</t>
  </si>
  <si>
    <t xml:space="preserve">1914: de la paz a la guerra</t>
  </si>
  <si>
    <t xml:space="preserve">Margaret Macmillan</t>
  </si>
  <si>
    <t xml:space="preserve">Nocturno de Chile</t>
  </si>
  <si>
    <t xml:space="preserve">Metro 2033</t>
  </si>
  <si>
    <t xml:space="preserve">Dmitri Glujovski</t>
  </si>
  <si>
    <t xml:space="preserve">Ojos de fuego</t>
  </si>
  <si>
    <t xml:space="preserve">Tres días y una vida</t>
  </si>
  <si>
    <t xml:space="preserve">Pierre Lemaitre</t>
  </si>
  <si>
    <t xml:space="preserve">Sapiens, de animales a dioses</t>
  </si>
  <si>
    <t xml:space="preserve">Yuval Noah Harari</t>
  </si>
  <si>
    <t xml:space="preserve">Armagedon: la derrota de Alemania</t>
  </si>
  <si>
    <t xml:space="preserve">Max Hastings</t>
  </si>
  <si>
    <t xml:space="preserve">El dragón renacido</t>
  </si>
  <si>
    <t xml:space="preserve">El aumento de la sombra</t>
  </si>
  <si>
    <t xml:space="preserve">Las lagartijas no se hacen preguntas</t>
  </si>
  <si>
    <t xml:space="preserve">Leonard Mlodinow</t>
  </si>
  <si>
    <t xml:space="preserve">Huevo del dragón (cheela 1)</t>
  </si>
  <si>
    <t xml:space="preserve">Robert L. Forward</t>
  </si>
  <si>
    <t xml:space="preserve">Don Quijote de la Mancha</t>
  </si>
  <si>
    <t xml:space="preserve">Miguel de Cervantes Saavedra</t>
  </si>
  <si>
    <t xml:space="preserve">El atlas de las nubes</t>
  </si>
  <si>
    <t xml:space="preserve">David Mitchell</t>
  </si>
  <si>
    <t xml:space="preserve">El sueño de Galileo</t>
  </si>
  <si>
    <t xml:space="preserve">Moby Dick</t>
  </si>
  <si>
    <t xml:space="preserve">Herman Melville</t>
  </si>
  <si>
    <t xml:space="preserve">El cielo en llamas</t>
  </si>
  <si>
    <t xml:space="preserve">La torre oscura 1: el pistolero</t>
  </si>
  <si>
    <t xml:space="preserve">Ritos iguales</t>
  </si>
  <si>
    <t xml:space="preserve">Terry Pratchett</t>
  </si>
  <si>
    <t xml:space="preserve">Homo deus</t>
  </si>
  <si>
    <t xml:space="preserve">Brujerías</t>
  </si>
  <si>
    <t xml:space="preserve">La guerra secreta 1939-1945</t>
  </si>
  <si>
    <t xml:space="preserve">Miles Vorkosigan IV - El aprendiz del guerrero</t>
  </si>
  <si>
    <t xml:space="preserve">Lois McMaster Bujold</t>
  </si>
  <si>
    <t xml:space="preserve">Miles Vorkosigan V - Fronteras del infinito</t>
  </si>
  <si>
    <t xml:space="preserve">Miles Vorkosigan VI - El juego de los Vor</t>
  </si>
  <si>
    <t xml:space="preserve">Chavs: la demonización de la clase obrera</t>
  </si>
  <si>
    <t xml:space="preserve">Owen Jones</t>
  </si>
  <si>
    <t xml:space="preserve">Miles Vorkosigan VII - Cetaganda</t>
  </si>
  <si>
    <t xml:space="preserve">¡Guardias! ¿Guardias?</t>
  </si>
  <si>
    <t xml:space="preserve">Historia inventada del punk</t>
  </si>
  <si>
    <t xml:space="preserve">Juarma / Jorge B. Ortiz</t>
  </si>
  <si>
    <t xml:space="preserve">Propio</t>
  </si>
  <si>
    <t xml:space="preserve">Cuatro millones de golpes</t>
  </si>
  <si>
    <t xml:space="preserve">Erik Jimenez</t>
  </si>
  <si>
    <t xml:space="preserve">Prohibido Nacer</t>
  </si>
  <si>
    <t xml:space="preserve">Trevor Noah</t>
  </si>
  <si>
    <t xml:space="preserve">Hombres de armas</t>
  </si>
  <si>
    <t xml:space="preserve">Pies de barro</t>
  </si>
  <si>
    <t xml:space="preserve">!Voto a bríos!</t>
  </si>
  <si>
    <t xml:space="preserve">La amiga estupenda</t>
  </si>
  <si>
    <t xml:space="preserve">Elena Ferrante</t>
  </si>
  <si>
    <t xml:space="preserve">(Ekumen 2) Planeta de exilio</t>
  </si>
  <si>
    <t xml:space="preserve">Aurora</t>
  </si>
  <si>
    <t xml:space="preserve">Manual de Historia medieval</t>
  </si>
  <si>
    <t xml:space="preserve">Jose Angel Sesma Muñoz y Jose Angel García de Cortazar</t>
  </si>
  <si>
    <t xml:space="preserve">La historia del Heavy Metal</t>
  </si>
  <si>
    <t xml:space="preserve">Andrew O´Neil</t>
  </si>
  <si>
    <t xml:space="preserve">Potosi</t>
  </si>
  <si>
    <t xml:space="preserve">Ander Izaguirre</t>
  </si>
  <si>
    <t xml:space="preserve">El problema de los tres cuerpos</t>
  </si>
  <si>
    <t xml:space="preserve">Liu Cixin</t>
  </si>
  <si>
    <t xml:space="preserve">Manifiesto Redneck</t>
  </si>
  <si>
    <t xml:space="preserve">Jim Goad</t>
  </si>
  <si>
    <t xml:space="preserve">La gente de la edad media</t>
  </si>
  <si>
    <t xml:space="preserve">Robert Fossier</t>
  </si>
  <si>
    <t xml:space="preserve">Miles Vorkosigan VIII - Ethan de Athos</t>
  </si>
  <si>
    <t xml:space="preserve">Miles Vorkosigan IX - Hermanos de armas</t>
  </si>
  <si>
    <t xml:space="preserve">Cinco ecuaciones que cambiaron el mundo</t>
  </si>
  <si>
    <t xml:space="preserve">Michael Guillen</t>
  </si>
  <si>
    <t xml:space="preserve">Ciudad Permutación</t>
  </si>
  <si>
    <t xml:space="preserve">Greg Egan</t>
  </si>
  <si>
    <t xml:space="preserve">(Ekumen 3) La ciudad de las ilusiones</t>
  </si>
  <si>
    <t xml:space="preserve">Leon Max Lederman</t>
  </si>
  <si>
    <t xml:space="preserve">Nemesis: la derrota de Japón 1944-1945</t>
  </si>
  <si>
    <t xml:space="preserve">El estado de las cosas</t>
  </si>
  <si>
    <t xml:space="preserve">Roberto Herreros / Isidro Lopez</t>
  </si>
  <si>
    <t xml:space="preserve">El bosque oscuro</t>
  </si>
  <si>
    <t xml:space="preserve">El misterio de la orquídea calavera</t>
  </si>
  <si>
    <t xml:space="preserve">Elmer Mendoza</t>
  </si>
  <si>
    <t xml:space="preserve">Nacidos de la bruma 1: El imperio final</t>
  </si>
  <si>
    <t xml:space="preserve">Brandon Sanderson</t>
  </si>
  <si>
    <t xml:space="preserve">Nacidos de la bruma 2: El pozo de la ascensión</t>
  </si>
  <si>
    <t xml:space="preserve">(Ekumen 4) La mano izquierda de la oscuridad</t>
  </si>
  <si>
    <t xml:space="preserve">La sustancia del mal</t>
  </si>
  <si>
    <t xml:space="preserve">Luca D. Andrea</t>
  </si>
  <si>
    <t xml:space="preserve">El fin de la muerte</t>
  </si>
  <si>
    <t xml:space="preserve">Un ascensor al espacio</t>
  </si>
  <si>
    <t xml:space="preserve">Kelly y Zach Weinersmith</t>
  </si>
  <si>
    <t xml:space="preserve">Ciencia</t>
  </si>
  <si>
    <t xml:space="preserve">El señor del caos</t>
  </si>
  <si>
    <t xml:space="preserve">Poema del mio Cid</t>
  </si>
  <si>
    <t xml:space="preserve">Anonimo</t>
  </si>
  <si>
    <t xml:space="preserve">Poema</t>
  </si>
  <si>
    <t xml:space="preserve">Ciudad Abismo</t>
  </si>
  <si>
    <t xml:space="preserve">Alastair Reynolds</t>
  </si>
  <si>
    <t xml:space="preserve">Nacer Crecer Metallica Morir Tomo 1</t>
  </si>
  <si>
    <t xml:space="preserve">Paul Brannigan</t>
  </si>
  <si>
    <t xml:space="preserve">Los desnudos y los muertos</t>
  </si>
  <si>
    <t xml:space="preserve">Norman Mailer</t>
  </si>
  <si>
    <t xml:space="preserve">Buenos presagios</t>
  </si>
  <si>
    <t xml:space="preserve">Neil Gaiman y Terry Pratchett</t>
  </si>
  <si>
    <t xml:space="preserve">El prefecto</t>
  </si>
  <si>
    <t xml:space="preserve">El arca de la redención</t>
  </si>
  <si>
    <t xml:space="preserve">La quinta estación</t>
  </si>
  <si>
    <t xml:space="preserve">N. K. Jemisin</t>
  </si>
  <si>
    <t xml:space="preserve">Marvel Classic La odisea</t>
  </si>
  <si>
    <t xml:space="preserve">Roy Thomas, Greg Tocchini</t>
  </si>
  <si>
    <t xml:space="preserve">La corona de espadas</t>
  </si>
  <si>
    <t xml:space="preserve">Vida, pasión y muerte de Federico García Lorca</t>
  </si>
  <si>
    <t xml:space="preserve">Ian Gibson</t>
  </si>
  <si>
    <t xml:space="preserve">El camino de dagas</t>
  </si>
  <si>
    <t xml:space="preserve">Paletos salvajes</t>
  </si>
  <si>
    <t xml:space="preserve">Si esto es un hombre</t>
  </si>
  <si>
    <t xml:space="preserve">Primo Levi</t>
  </si>
  <si>
    <t xml:space="preserve">Crónica jonda</t>
  </si>
  <si>
    <t xml:space="preserve">Silvia Cruz Lapeña</t>
  </si>
  <si>
    <t xml:space="preserve">Miles Vorkosigan X - Danza de espejos</t>
  </si>
  <si>
    <t xml:space="preserve">La extraordinaria familia Telemacus</t>
  </si>
  <si>
    <t xml:space="preserve">Daryl Gregory</t>
  </si>
  <si>
    <t xml:space="preserve">Miles Vorkosigan XI - Recuerdos</t>
  </si>
  <si>
    <t xml:space="preserve">Miles Vorkosigan XII - Komarr</t>
  </si>
  <si>
    <t xml:space="preserve">El desfiladero de la absolución</t>
  </si>
  <si>
    <t xml:space="preserve">Los jardines de la Luna (Malaz: El Libro de los Caídos 1)</t>
  </si>
  <si>
    <t xml:space="preserve">Steven Erikson</t>
  </si>
  <si>
    <t xml:space="preserve">Las puertas de la Casa de la Muerte (Malaz: El Libro de los Caídos 2)</t>
  </si>
  <si>
    <t xml:space="preserve">Hijos de una guerra: Los Hermanos Quero y la resistencia antifranquista</t>
  </si>
  <si>
    <t xml:space="preserve">Jorge Marco Carretero</t>
  </si>
  <si>
    <t xml:space="preserve">Memorias del Hielo (Malaz: El Libro de los Caídos 3)</t>
  </si>
  <si>
    <t xml:space="preserve">14 de Julio</t>
  </si>
  <si>
    <t xml:space="preserve">Eric Villard</t>
  </si>
  <si>
    <t xml:space="preserve">Fariña, la novela gráfica</t>
  </si>
  <si>
    <t xml:space="preserve">Luis Bustos</t>
  </si>
  <si>
    <t xml:space="preserve">Historieta</t>
  </si>
  <si>
    <t xml:space="preserve">Diario del año de la peste</t>
  </si>
  <si>
    <t xml:space="preserve">Daniel Defoe</t>
  </si>
  <si>
    <t xml:space="preserve">El lector de Julio Verne</t>
  </si>
  <si>
    <t xml:space="preserve">Almudena Grandes</t>
  </si>
  <si>
    <t xml:space="preserve">Miles Vorkosigan XIII – Una campaña civil</t>
  </si>
  <si>
    <t xml:space="preserve">Las legendarias aventuras de Chiquito</t>
  </si>
  <si>
    <t xml:space="preserve">Sergio Mora</t>
  </si>
  <si>
    <t xml:space="preserve">Miles Vorkosigan XIV – Regalos de Feria de Invierno</t>
  </si>
  <si>
    <t xml:space="preserve">Cuento</t>
  </si>
  <si>
    <t xml:space="preserve">Casa de soles</t>
  </si>
  <si>
    <t xml:space="preserve">Bernal Diaz del Castillo</t>
  </si>
  <si>
    <t xml:space="preserve">La Italia del año mil</t>
  </si>
  <si>
    <t xml:space="preserve">Cuentos de Canterbury</t>
  </si>
  <si>
    <t xml:space="preserve">Geoffrey Chaucer</t>
  </si>
  <si>
    <t xml:space="preserve">Cuentos</t>
  </si>
  <si>
    <t xml:space="preserve">Flores para Algernon</t>
  </si>
  <si>
    <t xml:space="preserve">Daniel Keyes</t>
  </si>
  <si>
    <t xml:space="preserve">Cortés</t>
  </si>
  <si>
    <t xml:space="preserve">Christian Duverger</t>
  </si>
  <si>
    <t xml:space="preserve">Asinaria - Aulularia - Miles Gloriosus</t>
  </si>
  <si>
    <t xml:space="preserve">Tito Maccio Plauto</t>
  </si>
  <si>
    <t xml:space="preserve">Super Freakonomics</t>
  </si>
  <si>
    <t xml:space="preserve">Stephen Levitt y Stephen Dubner</t>
  </si>
  <si>
    <t xml:space="preserve">Mundo azul</t>
  </si>
  <si>
    <t xml:space="preserve">Balas de plata</t>
  </si>
  <si>
    <t xml:space="preserve">La prueba del ácido</t>
  </si>
  <si>
    <t xml:space="preserve">Nombres de perro</t>
  </si>
  <si>
    <t xml:space="preserve">Besar al detective</t>
  </si>
  <si>
    <t xml:space="preserve">Zoos humanos, ethnic freaks y exhibiciones etnológicas</t>
  </si>
  <si>
    <t xml:space="preserve">Hasan G. López Sanz</t>
  </si>
  <si>
    <t xml:space="preserve">Ur, Asur y Babilonia</t>
  </si>
  <si>
    <t xml:space="preserve">Hartmut Schmökel</t>
  </si>
  <si>
    <t xml:space="preserve">Los nueve libros de la historia</t>
  </si>
  <si>
    <t xml:space="preserve">Herodoto de Halicarnaso</t>
  </si>
  <si>
    <t xml:space="preserve">Cicatriz</t>
  </si>
  <si>
    <t xml:space="preserve">Juan Gomez Jurado</t>
  </si>
  <si>
    <t xml:space="preserve">Había una vez...Sr Chinarro (conversaciones con Antonio Luque)</t>
  </si>
  <si>
    <t xml:space="preserve">Manuel Pinazo y Chema Domínguez</t>
  </si>
  <si>
    <t xml:space="preserve">Camilo José Cela</t>
  </si>
  <si>
    <t xml:space="preserve">Bodas de sangre</t>
  </si>
  <si>
    <t xml:space="preserve">Cuando falla la gravedad (Trilogía 1)</t>
  </si>
  <si>
    <t xml:space="preserve">George Alec Effinger</t>
  </si>
  <si>
    <t xml:space="preserve">50 cosas que hay que saber sobre el universo</t>
  </si>
  <si>
    <t xml:space="preserve">Joanne Baker</t>
  </si>
  <si>
    <t xml:space="preserve">La formación de América del Norte</t>
  </si>
  <si>
    <t xml:space="preserve">Los Modlin</t>
  </si>
  <si>
    <t xml:space="preserve">Paco Gomez</t>
  </si>
  <si>
    <t xml:space="preserve">El hombre del traje negro</t>
  </si>
  <si>
    <t xml:space="preserve">El universo en tu mano</t>
  </si>
  <si>
    <t xml:space="preserve">Christophe Galfard</t>
  </si>
  <si>
    <t xml:space="preserve">El cine según Hitchcock</t>
  </si>
  <si>
    <t xml:space="preserve">François Truffaut</t>
  </si>
  <si>
    <t xml:space="preserve">Cine</t>
  </si>
  <si>
    <t xml:space="preserve">Un fuego en el sol (Trilogía 2)</t>
  </si>
  <si>
    <t xml:space="preserve">El beso del exilio (Trilogía 3)</t>
  </si>
  <si>
    <t xml:space="preserve">Miles Vorkosigan 14 – Inmunidad diplomática</t>
  </si>
  <si>
    <t xml:space="preserve">Miles Vorkosigan 15 – Criopolis</t>
  </si>
  <si>
    <t xml:space="preserve">Viaje de Londres a Génova a través de Inglaterra, Portugal, España y Francia</t>
  </si>
  <si>
    <t xml:space="preserve">Giuseppe Baretti</t>
  </si>
  <si>
    <t xml:space="preserve">Lemmy</t>
  </si>
  <si>
    <t xml:space="preserve">Ian Kilmister</t>
  </si>
  <si>
    <t xml:space="preserve">Stoner</t>
  </si>
  <si>
    <t xml:space="preserve">John Williams</t>
  </si>
  <si>
    <t xml:space="preserve">Un abismo en el cielo</t>
  </si>
  <si>
    <t xml:space="preserve">Vernor Vinge</t>
  </si>
  <si>
    <t xml:space="preserve">Un fuego sobre el abismo</t>
  </si>
  <si>
    <t xml:space="preserve">Nieve en los bolsillos</t>
  </si>
  <si>
    <t xml:space="preserve">Kim</t>
  </si>
  <si>
    <t xml:space="preserve">Las quince primeras vidas de Harry August</t>
  </si>
  <si>
    <t xml:space="preserve">Claire North</t>
  </si>
  <si>
    <t xml:space="preserve">Mi ovni de la perestroika</t>
  </si>
  <si>
    <t xml:space="preserve">Daniel Utrilla</t>
  </si>
  <si>
    <t xml:space="preserve">Un verdor terrible</t>
  </si>
  <si>
    <t xml:space="preserve">Benjamin Labatut</t>
  </si>
  <si>
    <t xml:space="preserve">El mapa fantasma</t>
  </si>
  <si>
    <t xml:space="preserve">Steven Johnson</t>
  </si>
  <si>
    <t xml:space="preserve">Odorama: historia cultural del olor</t>
  </si>
  <si>
    <t xml:space="preserve">Federico Kukso</t>
  </si>
  <si>
    <t xml:space="preserve">La guerra de la paz</t>
  </si>
  <si>
    <t xml:space="preserve">Brujas de Viaje</t>
  </si>
  <si>
    <t xml:space="preserve">1177 aC, el año en que la covilización se derrumbó</t>
  </si>
  <si>
    <t xml:space="preserve">Eric H. Cline</t>
  </si>
  <si>
    <t xml:space="preserve">El asesinato de García Lorca</t>
  </si>
  <si>
    <t xml:space="preserve">Pavana</t>
  </si>
  <si>
    <t xml:space="preserve">Keith Roberts</t>
  </si>
  <si>
    <t xml:space="preserve">Poeta en Nueva York</t>
  </si>
  <si>
    <t xml:space="preserve">Poesía</t>
  </si>
  <si>
    <t xml:space="preserve">Niños Mutantes: 20 años, 20 canciones</t>
  </si>
  <si>
    <t xml:space="preserve">Julio Jiménez y Alfonso Mendez</t>
  </si>
  <si>
    <t xml:space="preserve">Viaje al centro de mi cerebro</t>
  </si>
  <si>
    <t xml:space="preserve">Eric Jiménez</t>
  </si>
  <si>
    <t xml:space="preserve">Americo Vespucio</t>
  </si>
  <si>
    <t xml:space="preserve">Una guía de lectura “Llanto por Ignacio Sánchez Mejías” de Federico García Lorca</t>
  </si>
  <si>
    <t xml:space="preserve">Miguel Metzeltin y Martina Meidl</t>
  </si>
  <si>
    <t xml:space="preserve">Hermanos</t>
  </si>
  <si>
    <t xml:space="preserve">Noventa por ciento de todo</t>
  </si>
  <si>
    <t xml:space="preserve">Rose George</t>
  </si>
  <si>
    <t xml:space="preserve">El corazón del invierno</t>
  </si>
  <si>
    <t xml:space="preserve">Limonov</t>
  </si>
  <si>
    <t xml:space="preserve">Emmanuel Carrère</t>
  </si>
  <si>
    <t xml:space="preserve">Proyecto Hail Mary</t>
  </si>
  <si>
    <t xml:space="preserve">Berlanga, el último austrohúngaro</t>
  </si>
  <si>
    <t xml:space="preserve">Manuel Hidalgo</t>
  </si>
  <si>
    <t xml:space="preserve">Warburg &amp; Bleach</t>
  </si>
  <si>
    <t xml:space="preserve">Jorge Carrión</t>
  </si>
  <si>
    <t xml:space="preserve">Bajo la sombra del Vesubio</t>
  </si>
  <si>
    <t xml:space="preserve">Daisy Dunn</t>
  </si>
  <si>
    <t xml:space="preserve">Come as you are: Nirvana</t>
  </si>
  <si>
    <t xml:space="preserve">Michael Azerrad</t>
  </si>
  <si>
    <t xml:space="preserve">Walden</t>
  </si>
  <si>
    <t xml:space="preserve">Henry David Thoreau</t>
  </si>
  <si>
    <t xml:space="preserve">El viaje a ninguna parte</t>
  </si>
  <si>
    <t xml:space="preserve">Fernando Fernán Gómez</t>
  </si>
  <si>
    <t xml:space="preserve">Iréne</t>
  </si>
  <si>
    <t xml:space="preserve">Alex</t>
  </si>
  <si>
    <t xml:space="preserve">Rosi &amp; John</t>
  </si>
  <si>
    <t xml:space="preserve">Peste &amp; Cólera</t>
  </si>
  <si>
    <t xml:space="preserve">Patrick Deville</t>
  </si>
  <si>
    <t xml:space="preserve">Guía del Antiguo Testamento</t>
  </si>
  <si>
    <t xml:space="preserve">Historia de los godos</t>
  </si>
  <si>
    <t xml:space="preserve">Rosa Sanz Serrano</t>
  </si>
  <si>
    <t xml:space="preserve">Historia Natural – Libros I-II</t>
  </si>
  <si>
    <t xml:space="preserve">Plinio el Viejo</t>
  </si>
  <si>
    <t xml:space="preserve">El sindicato de policía yidish</t>
  </si>
  <si>
    <t xml:space="preserve">Michael Chabon</t>
  </si>
  <si>
    <t xml:space="preserve">Al-Andalus</t>
  </si>
  <si>
    <t xml:space="preserve">Angel Vera Aranda</t>
  </si>
  <si>
    <t xml:space="preserve">Tres piedras hacen una pared</t>
  </si>
  <si>
    <t xml:space="preserve">El apagón</t>
  </si>
  <si>
    <t xml:space="preserve">Connie Willis</t>
  </si>
  <si>
    <t xml:space="preserve">Hijos de Febrero</t>
  </si>
  <si>
    <t xml:space="preserve">Alan Parks</t>
  </si>
  <si>
    <t xml:space="preserve">El color de la magia</t>
  </si>
  <si>
    <t xml:space="preserve">La Alta Edad media</t>
  </si>
  <si>
    <t xml:space="preserve">La formación de Inglatera</t>
  </si>
  <si>
    <t xml:space="preserve">La tierra de Canaan</t>
  </si>
  <si>
    <t xml:space="preserve">La larga marcha</t>
  </si>
  <si>
    <t xml:space="preserve">Progenie</t>
  </si>
  <si>
    <t xml:space="preserve">Susana Martin Gijón</t>
  </si>
  <si>
    <t xml:space="preserve">Civilizaciones</t>
  </si>
  <si>
    <t xml:space="preserve">Laurence Binet</t>
  </si>
  <si>
    <t xml:space="preserve">Mendigos de España</t>
  </si>
  <si>
    <t xml:space="preserve">Nancy Kerr</t>
  </si>
  <si>
    <t xml:space="preserve">Rechicero</t>
  </si>
  <si>
    <t xml:space="preserve">La chica de la Leica</t>
  </si>
  <si>
    <t xml:space="preserve">Helena Janeczek</t>
  </si>
  <si>
    <t xml:space="preserve">Las edades de Itnis</t>
  </si>
  <si>
    <t xml:space="preserve">Salvador Bayarri</t>
  </si>
  <si>
    <t xml:space="preserve">La vieja guardia</t>
  </si>
  <si>
    <t xml:space="preserve">John Scalzi</t>
  </si>
  <si>
    <t xml:space="preserve">The peripheral</t>
  </si>
  <si>
    <t xml:space="preserve">Otros mundos</t>
  </si>
  <si>
    <t xml:space="preserve">Thomas Halliday</t>
  </si>
  <si>
    <t xml:space="preserve">Mundo Anillo</t>
  </si>
  <si>
    <t xml:space="preserve">Larry Niven</t>
  </si>
  <si>
    <t xml:space="preserve">The Power</t>
  </si>
  <si>
    <t xml:space="preserve">Naomi Alderman</t>
  </si>
  <si>
    <t xml:space="preserve">Cronopaisaje</t>
  </si>
  <si>
    <t xml:space="preserve">Gregory Benford</t>
  </si>
  <si>
    <t xml:space="preserve">El artefacto</t>
  </si>
  <si>
    <t xml:space="preserve">El fin de la infancia</t>
  </si>
  <si>
    <t xml:space="preserve">Arthur C. Clarke</t>
  </si>
  <si>
    <t xml:space="preserve">Los reyes de la Alhambra: entre la historia y la leyenda</t>
  </si>
  <si>
    <t xml:space="preserve">Francisco Bueno García</t>
  </si>
  <si>
    <t xml:space="preserve">Picnic extraterrestre</t>
  </si>
  <si>
    <t xml:space="preserve">Arkadi Strugatski y Boris Natanovich Strugatskiï</t>
  </si>
  <si>
    <t xml:space="preserve">La paja en el Ojo de Dios</t>
  </si>
  <si>
    <t xml:space="preserve">Larry Niven y Jerry Pournelle</t>
  </si>
  <si>
    <t xml:space="preserve">La risa en la antigua Roma</t>
  </si>
  <si>
    <t xml:space="preserve">En la estación Basilisco</t>
  </si>
  <si>
    <t xml:space="preserve">David Weber</t>
  </si>
  <si>
    <t xml:space="preserve">Justicia auxiliar</t>
  </si>
  <si>
    <t xml:space="preserve">Ann Leckie</t>
  </si>
  <si>
    <t xml:space="preserve">Henders</t>
  </si>
  <si>
    <t xml:space="preserve">Warren Fahy</t>
  </si>
  <si>
    <t xml:space="preserve">Cómo descubrimos los números</t>
  </si>
  <si>
    <t xml:space="preserve">El honor de la reina</t>
  </si>
  <si>
    <t xml:space="preserve">Las calles siniestras</t>
  </si>
  <si>
    <t xml:space="preserve">Pio Baroja</t>
  </si>
  <si>
    <t xml:space="preserve">Una guerra breve y triunfal</t>
  </si>
  <si>
    <t xml:space="preserve">Al sur de Granada</t>
  </si>
  <si>
    <t xml:space="preserve">Gerald Brenan</t>
  </si>
  <si>
    <t xml:space="preserve">Enero sangriento</t>
  </si>
  <si>
    <t xml:space="preserve">Babilonia</t>
  </si>
  <si>
    <t xml:space="preserve">Albert Champdor</t>
  </si>
  <si>
    <t xml:space="preserve">El libro del día del Juicio Final</t>
  </si>
  <si>
    <t xml:space="preserve">Madrid</t>
  </si>
  <si>
    <t xml:space="preserve">Andrés Trapiello</t>
  </si>
  <si>
    <t xml:space="preserve">Episodios Nacionales: Trafalgar</t>
  </si>
  <si>
    <t xml:space="preserve">Benito Pérez Galdós</t>
  </si>
  <si>
    <t xml:space="preserve">En el oceano de la noche</t>
  </si>
  <si>
    <t xml:space="preserve">Episodios Nacionales: La corte de Carlos IV</t>
  </si>
  <si>
    <t xml:space="preserve">Las brigadas fantasmas</t>
  </si>
  <si>
    <t xml:space="preserve">Cita con Rama</t>
  </si>
  <si>
    <t xml:space="preserve">La edad del futuro I</t>
  </si>
  <si>
    <t xml:space="preserve">El diluvio</t>
  </si>
  <si>
    <t xml:space="preserve">Adam Tooze</t>
  </si>
  <si>
    <t xml:space="preserve">La sombra de la catedral</t>
  </si>
  <si>
    <t xml:space="preserve">Frank Schatzing</t>
  </si>
  <si>
    <t xml:space="preserve">Año 1325 AC, el año que murió Tutankhamon</t>
  </si>
  <si>
    <t xml:space="preserve">Ana Maria Vazquez Hoys</t>
  </si>
  <si>
    <t xml:space="preserve">La maldición de Chalion</t>
  </si>
  <si>
    <t xml:space="preserve">La antigua Mesopotamia</t>
  </si>
  <si>
    <t xml:space="preserve">Leo Oppenheim</t>
  </si>
  <si>
    <t xml:space="preserve">La Tierra Larga</t>
  </si>
  <si>
    <t xml:space="preserve">Neuromante</t>
  </si>
  <si>
    <t xml:space="preserve">Meridiano de sangre</t>
  </si>
  <si>
    <t xml:space="preserve">Bobby March vivirá para siempre</t>
  </si>
  <si>
    <t xml:space="preserve">Otras crónicas marcianas</t>
  </si>
  <si>
    <t xml:space="preserve">Ray Bradbury</t>
  </si>
  <si>
    <t xml:space="preserve">La sociedad para la preservación de los Kaiju</t>
  </si>
  <si>
    <t xml:space="preserve">El tercer chimpancé</t>
  </si>
  <si>
    <t xml:space="preserve">Jared Diamond</t>
  </si>
  <si>
    <t xml:space="preserve">En el satélite de Lagartija Nick</t>
  </si>
  <si>
    <t xml:space="preserve">Oscar Cabrera</t>
  </si>
  <si>
    <t xml:space="preserve">Matadero cinco o La cruzada de los niños</t>
  </si>
  <si>
    <t xml:space="preserve">La formación de Inglaterra</t>
  </si>
  <si>
    <t xml:space="preserve">Episodios Nacionales: 19 de Marzo y el 2 de Mayo</t>
  </si>
  <si>
    <t xml:space="preserve">Campo de deshonor</t>
  </si>
  <si>
    <t xml:space="preserve">Banderas en el exilio</t>
  </si>
  <si>
    <t xml:space="preserve">Los cronolitos</t>
  </si>
  <si>
    <t xml:space="preserve">Robert C. Wilson</t>
  </si>
  <si>
    <t xml:space="preserve">Eric</t>
  </si>
  <si>
    <t xml:space="preserve">Tiempos interesantes</t>
  </si>
  <si>
    <t xml:space="preserve">El ladrón cuántico</t>
  </si>
  <si>
    <t xml:space="preserve">Hannu Rajaniemi</t>
  </si>
  <si>
    <t xml:space="preserve">La estrella de Pandora</t>
  </si>
  <si>
    <t xml:space="preserve">Peter Hamilton</t>
  </si>
  <si>
    <t xml:space="preserve">La divina comedia</t>
  </si>
  <si>
    <t xml:space="preserve">Dante Alighlieri</t>
  </si>
  <si>
    <t xml:space="preserve">Accelerando</t>
  </si>
  <si>
    <t xml:space="preserve">Charles Stross</t>
  </si>
  <si>
    <t xml:space="preserve">Cuentos completos 1</t>
  </si>
  <si>
    <t xml:space="preserve">Abrázame hasta que esta vida deje de dar puto asco</t>
  </si>
  <si>
    <t xml:space="preserve">Juarma</t>
  </si>
  <si>
    <t xml:space="preserve">Rayuela</t>
  </si>
  <si>
    <t xml:space="preserve">Julio Cortazar</t>
  </si>
  <si>
    <t xml:space="preserve">Meditaciones</t>
  </si>
  <si>
    <t xml:space="preserve">Ignatius Farray</t>
  </si>
  <si>
    <t xml:space="preserve">Historia de la literatura romana</t>
  </si>
  <si>
    <t xml:space="preserve">Ludwig Bieler</t>
  </si>
  <si>
    <t xml:space="preserve">Artemis</t>
  </si>
  <si>
    <t xml:space="preserve">Todo está perdonado</t>
  </si>
  <si>
    <t xml:space="preserve">Judas desencadenado</t>
  </si>
  <si>
    <t xml:space="preserve">Peter F. Hamilton</t>
  </si>
  <si>
    <t xml:space="preserve">Toda la historia del mundo: de la prehistoria a la actualidad</t>
  </si>
  <si>
    <t xml:space="preserve">Jean-Claude Barreau</t>
  </si>
  <si>
    <t xml:space="preserve">La colonia perdida</t>
  </si>
  <si>
    <t xml:space="preserve">El fuego elemental </t>
  </si>
  <si>
    <t xml:space="preserve">Martha Wells</t>
  </si>
  <si>
    <t xml:space="preserve">Exhalación</t>
  </si>
  <si>
    <t xml:space="preserve">Ted Chiang</t>
  </si>
  <si>
    <t xml:space="preserve">La Granada ignorada</t>
  </si>
  <si>
    <t xml:space="preserve">Juan Carlos Perez Sanchez</t>
  </si>
  <si>
    <t xml:space="preserve">Sistemas críticos (Los diarios de Matabot 1)</t>
  </si>
  <si>
    <t xml:space="preserve">Japan Sinks</t>
  </si>
  <si>
    <t xml:space="preserve">Sakyo Komatsu</t>
  </si>
  <si>
    <t xml:space="preserve">Condición artificial (Los diarios de Matabot 2)</t>
  </si>
  <si>
    <t xml:space="preserve">Britania conquistada</t>
  </si>
  <si>
    <t xml:space="preserve">Harry Turtledove</t>
  </si>
  <si>
    <t xml:space="preserve">Pensad en Feblas</t>
  </si>
  <si>
    <t xml:space="preserve">Iain Banks</t>
  </si>
  <si>
    <t xml:space="preserve">Sid Meier's Memoir!: A Life in Computer Games</t>
  </si>
  <si>
    <t xml:space="preserve">Sid Meier</t>
  </si>
  <si>
    <t xml:space="preserve">Memorias</t>
  </si>
  <si>
    <t xml:space="preserve">Bailén</t>
  </si>
  <si>
    <t xml:space="preserve">El orgullo de Chanur (La saga de Chanur 1)</t>
  </si>
  <si>
    <t xml:space="preserve">C.J. Cherryh</t>
  </si>
  <si>
    <t xml:space="preserve">Historia de Zoe (La vieja guardia 4)</t>
  </si>
  <si>
    <t xml:space="preserve">Intrépido (La flota perdida 1)</t>
  </si>
  <si>
    <t xml:space="preserve">Jack Campbell</t>
  </si>
  <si>
    <t xml:space="preserve">La familia de Pascual Duarte</t>
  </si>
  <si>
    <t xml:space="preserve">El sueño del androide</t>
  </si>
  <si>
    <t xml:space="preserve">El jugador</t>
  </si>
  <si>
    <t xml:space="preserve">Deus ex</t>
  </si>
  <si>
    <t xml:space="preserve">Ferdia Lennon</t>
  </si>
  <si>
    <t xml:space="preserve">Eon</t>
  </si>
  <si>
    <t xml:space="preserve">Greg Bear</t>
  </si>
  <si>
    <t xml:space="preserve">El viaje de la humanidad</t>
  </si>
  <si>
    <t xml:space="preserve">Oded Galor</t>
  </si>
  <si>
    <t xml:space="preserve">Radicalizado</t>
  </si>
  <si>
    <t xml:space="preserve">Muerte en abril</t>
  </si>
  <si>
    <t xml:space="preserve">Napoleón en Chamartin</t>
  </si>
  <si>
    <t xml:space="preserve">La busca</t>
  </si>
  <si>
    <t xml:space="preserve">Danza de tinieblas</t>
  </si>
  <si>
    <t xml:space="preserve">Eduardo Vaquerizo</t>
  </si>
  <si>
    <t xml:space="preserve">A través del arco iris</t>
  </si>
  <si>
    <t xml:space="preserve">Viaje a la Alcarria</t>
  </si>
  <si>
    <t xml:space="preserve">Redshirts</t>
  </si>
  <si>
    <t xml:space="preserve">Cese de alerta</t>
  </si>
  <si>
    <t xml:space="preserve">El vacío de los sueños</t>
  </si>
  <si>
    <t xml:space="preserve">Historia de dos ciudades</t>
  </si>
  <si>
    <t xml:space="preserve">Charles Dickens</t>
  </si>
  <si>
    <t xml:space="preserve">Se desataron todos los infiernos</t>
  </si>
  <si>
    <t xml:space="preserve">Okinawa: la última batalla</t>
  </si>
  <si>
    <t xml:space="preserve">Bill Sloan</t>
  </si>
  <si>
    <t xml:space="preserve">El arbol de la ciencia</t>
  </si>
  <si>
    <t xml:space="preserve">El puente</t>
  </si>
  <si>
    <t xml:space="preserve">¿Está usted de broma, señor Feynman?</t>
  </si>
  <si>
    <t xml:space="preserve">Richard Feynman</t>
  </si>
  <si>
    <t xml:space="preserve">California 83</t>
  </si>
  <si>
    <t xml:space="preserve">Pepe Colubi</t>
  </si>
  <si>
    <t xml:space="preserve">El tercer brazo</t>
  </si>
  <si>
    <t xml:space="preserve">El zoo de papel</t>
  </si>
  <si>
    <t xml:space="preserve">Ken Liu</t>
  </si>
  <si>
    <t xml:space="preserve">El mundo de Roche</t>
  </si>
  <si>
    <t xml:space="preserve">La alta edad media</t>
  </si>
  <si>
    <t xml:space="preserve">El martillo de Lucifer</t>
  </si>
  <si>
    <t xml:space="preserve">Zaragoza</t>
  </si>
  <si>
    <t xml:space="preserve">Los surcos del azar</t>
  </si>
  <si>
    <t xml:space="preserve">Paco Roca</t>
  </si>
  <si>
    <t xml:space="preserve">Un geólogo en apuros</t>
  </si>
  <si>
    <t xml:space="preserve">Nahúm Méndez</t>
  </si>
  <si>
    <t xml:space="preserve">El espejismo de Dios</t>
  </si>
  <si>
    <t xml:space="preserve">Richard Dawkins</t>
  </si>
  <si>
    <t xml:space="preserve">Basilisco</t>
  </si>
  <si>
    <t xml:space="preserve">Jon Bilbao</t>
  </si>
  <si>
    <t xml:space="preserve">La guerra interminable</t>
  </si>
  <si>
    <t xml:space="preserve">Joe Haldeman</t>
  </si>
  <si>
    <t xml:space="preserve">Estrella doble</t>
  </si>
  <si>
    <t xml:space="preserve">Robert A. Heinlein</t>
  </si>
  <si>
    <t xml:space="preserve">Misión de gravedad</t>
  </si>
  <si>
    <t xml:space="preserve">Hal Clement</t>
  </si>
  <si>
    <t xml:space="preserve">La humanidad dividida (La vieja guardia 5)</t>
  </si>
  <si>
    <t xml:space="preserve">El fin de todas las cosas (La vieja guardia 6)</t>
  </si>
  <si>
    <t xml:space="preserve">Sin memoria</t>
  </si>
  <si>
    <t xml:space="preserve">Brian Freeman</t>
  </si>
  <si>
    <t xml:space="preserve">Sostener el cielo</t>
  </si>
  <si>
    <t xml:space="preserve">El vacío temporal</t>
  </si>
  <si>
    <t xml:space="preserve">La Primera Guerra Mundial</t>
  </si>
  <si>
    <t xml:space="preserve">Y fundaremos la ciudad más grande del mundo</t>
  </si>
  <si>
    <t xml:space="preserve">Giovanni Nucci</t>
  </si>
  <si>
    <t xml:space="preserve">Pax</t>
  </si>
  <si>
    <t xml:space="preserve">Tom Holland</t>
  </si>
  <si>
    <t xml:space="preserve">Cosmo</t>
  </si>
  <si>
    <t xml:space="preserve">Hombres fósiles</t>
  </si>
  <si>
    <t xml:space="preserve">Kermit Pattison</t>
  </si>
  <si>
    <t xml:space="preserve">Pórtico</t>
  </si>
  <si>
    <t xml:space="preserve">Frederik Pohl</t>
  </si>
  <si>
    <t xml:space="preserve">Nexus</t>
  </si>
  <si>
    <t xml:space="preserve">A través del mar de soles</t>
  </si>
  <si>
    <t xml:space="preserve">El gran rio del espacio</t>
  </si>
  <si>
    <t xml:space="preserve">Las metamorfosis</t>
  </si>
  <si>
    <t xml:space="preserve">Publio Ovidio Nasón</t>
  </si>
  <si>
    <t xml:space="preserve">Poesia</t>
  </si>
  <si>
    <t xml:space="preserve">Inhibitor phase</t>
  </si>
  <si>
    <t xml:space="preserve">Mareas de luz</t>
  </si>
  <si>
    <t xml:space="preserve">El tiempo de los trenes</t>
  </si>
  <si>
    <t xml:space="preserve">Abismo frenético</t>
  </si>
  <si>
    <t xml:space="preserve">El cuento de la criada</t>
  </si>
  <si>
    <t xml:space="preserve">Margaret Atwood</t>
  </si>
  <si>
    <t xml:space="preserve">SPQR: Una historia de la antigua Roma </t>
  </si>
  <si>
    <t xml:space="preserve">Tau Cero</t>
  </si>
  <si>
    <t xml:space="preserve">Poul Anderson</t>
  </si>
  <si>
    <t xml:space="preserve">Muertes de perro</t>
  </si>
  <si>
    <t xml:space="preserve">Francisco Ayala</t>
  </si>
  <si>
    <t xml:space="preserve">Cultivar un huerto para Dummies</t>
  </si>
  <si>
    <t xml:space="preserve">Grazia Cacciola</t>
  </si>
  <si>
    <t xml:space="preserve">Madrid DF</t>
  </si>
  <si>
    <t xml:space="preserve">Fernando Caballero</t>
  </si>
  <si>
    <t xml:space="preserve">Origenes</t>
  </si>
  <si>
    <t xml:space="preserve">Lewis Dartnell</t>
  </si>
  <si>
    <t xml:space="preserve">El infinito en un junco</t>
  </si>
  <si>
    <t xml:space="preserve">Irene Vallejo</t>
  </si>
  <si>
    <t xml:space="preserve">Diez días que estremecieron al mundo</t>
  </si>
  <si>
    <t xml:space="preserve">John Reed</t>
  </si>
  <si>
    <t xml:space="preserve">Las joyas de la Castafiore</t>
  </si>
  <si>
    <t xml:space="preserve">Hergé</t>
  </si>
  <si>
    <t xml:space="preserve">Ready player one</t>
  </si>
  <si>
    <t xml:space="preserve">Ernest Cline</t>
  </si>
  <si>
    <t xml:space="preserve">La ciudad y la ciudad</t>
  </si>
  <si>
    <t xml:space="preserve">China Mieville</t>
  </si>
  <si>
    <t xml:space="preserve">El loto azul</t>
  </si>
  <si>
    <t xml:space="preserve">Elogio del futuro</t>
  </si>
  <si>
    <t xml:space="preserve">Eudald Carbonell</t>
  </si>
  <si>
    <t xml:space="preserve">Tintín en el Congo</t>
  </si>
  <si>
    <t xml:space="preserve">Los cigarros del faraón</t>
  </si>
  <si>
    <t xml:space="preserve">El cetro de Ottokar</t>
  </si>
  <si>
    <t xml:space="preserve">El agente de las estrellas</t>
  </si>
  <si>
    <t xml:space="preserve">Estación Amarinta I</t>
  </si>
  <si>
    <t xml:space="preserve">Felipe II</t>
  </si>
  <si>
    <t xml:space="preserve">Geofrrey Parker</t>
  </si>
  <si>
    <t xml:space="preserve">Estación Amarinta II</t>
  </si>
  <si>
    <t xml:space="preserve">Ecce y la Vieja Tierra</t>
  </si>
  <si>
    <t xml:space="preserve">Spaceships Over Glasgow: Mogwai, Mayhem and Misspent Youth </t>
  </si>
  <si>
    <t xml:space="preserve">Stuart Braithwaite</t>
  </si>
  <si>
    <t xml:space="preserve">El capitán Alatriste</t>
  </si>
  <si>
    <t xml:space="preserve">Arturo Pérez-Reverte</t>
  </si>
  <si>
    <t xml:space="preserve">Limpieza de sangre</t>
  </si>
  <si>
    <t xml:space="preserve">El sol de Breda</t>
  </si>
  <si>
    <t xml:space="preserve">El fin del imperio</t>
  </si>
  <si>
    <t xml:space="preserve">El oro del rey</t>
  </si>
  <si>
    <t xml:space="preserve">Throy</t>
  </si>
  <si>
    <t xml:space="preserve">El imperio en llamas</t>
  </si>
  <si>
    <t xml:space="preserve">La conquista de México</t>
  </si>
  <si>
    <t xml:space="preserve">Amanecer rojo</t>
  </si>
  <si>
    <t xml:space="preserve">Pierce Brown</t>
  </si>
  <si>
    <t xml:space="preserve">Vida, la gran historia</t>
  </si>
  <si>
    <t xml:space="preserve">Juan Luis Arsuaga</t>
  </si>
  <si>
    <t xml:space="preserve">Come, reza, ama</t>
  </si>
  <si>
    <t xml:space="preserve">Liz Gilbert</t>
  </si>
  <si>
    <t xml:space="preserve">Viajes</t>
  </si>
  <si>
    <t xml:space="preserve">Anatomía de un instante</t>
  </si>
  <si>
    <t xml:space="preserve">El caballero del jubón amarillo</t>
  </si>
  <si>
    <t xml:space="preserve">Corsarios de levante</t>
  </si>
  <si>
    <t xml:space="preserve">Los humanos </t>
  </si>
  <si>
    <t xml:space="preserve">Matt Haig</t>
  </si>
  <si>
    <t xml:space="preserve">Mala hierba</t>
  </si>
  <si>
    <t xml:space="preserve">TEOGONIA / TRABAJOS Y DIAS / ESCUDO / CERTAMEN</t>
  </si>
  <si>
    <t xml:space="preserve">Hesiodo</t>
  </si>
  <si>
    <t xml:space="preserve">El mito de Esparta</t>
  </si>
  <si>
    <t xml:space="preserve">César Fornis</t>
  </si>
  <si>
    <t xml:space="preserve">Paladín de almas</t>
  </si>
  <si>
    <t xml:space="preserve">Gerona</t>
  </si>
  <si>
    <t xml:space="preserve">En carne alienígena</t>
  </si>
  <si>
    <t xml:space="preserve">Hades, el dios menos malo</t>
  </si>
  <si>
    <t xml:space="preserve">Pol Gisa</t>
  </si>
  <si>
    <t xml:space="preserve">La casa de Aizgorri</t>
  </si>
  <si>
    <t xml:space="preserve">El bigote</t>
  </si>
  <si>
    <t xml:space="preserve">Emmanuelle Carrére</t>
  </si>
  <si>
    <t xml:space="preserve">Black Metal</t>
  </si>
  <si>
    <t xml:space="preserve">Magius</t>
  </si>
  <si>
    <t xml:space="preserve">La historia silenciada</t>
  </si>
  <si>
    <t xml:space="preserve">Rafael Vilchez Sanso</t>
  </si>
  <si>
    <t xml:space="preserve">El vacío de la evolución</t>
  </si>
  <si>
    <t xml:space="preserve">“1493”</t>
  </si>
  <si>
    <t xml:space="preserve">Charles C. Mann</t>
  </si>
  <si>
    <t xml:space="preserve">Los pazos de Ulloa</t>
  </si>
  <si>
    <t xml:space="preserve">Emilia Pérez Bazán</t>
  </si>
  <si>
    <t xml:space="preserve">Dormir en un mar de estrellas </t>
  </si>
  <si>
    <t xml:space="preserve">Christopher Paolini</t>
  </si>
  <si>
    <t xml:space="preserve">Carlos V</t>
  </si>
  <si>
    <t xml:space="preserve">Geoffrey Parker</t>
  </si>
  <si>
    <t xml:space="preserve">Los indoeuropeos</t>
  </si>
  <si>
    <t xml:space="preserve">J.P. Mallory</t>
  </si>
  <si>
    <t xml:space="preserve">“1491”</t>
  </si>
  <si>
    <t xml:space="preserve">El puente de los asesinos</t>
  </si>
  <si>
    <t xml:space="preserve">Arturo Pérez Reverte</t>
  </si>
  <si>
    <t xml:space="preserve">La gran invención</t>
  </si>
  <si>
    <t xml:space="preserve">Silvia Ferrara</t>
  </si>
  <si>
    <t xml:space="preserve">El barman del Ritz</t>
  </si>
  <si>
    <t xml:space="preserve">Philippe Collin</t>
  </si>
  <si>
    <t xml:space="preserve">Cádiz</t>
  </si>
  <si>
    <t xml:space="preserve">Por no mencionar al perro</t>
  </si>
  <si>
    <t xml:space="preserve">Rubicón</t>
  </si>
  <si>
    <t xml:space="preserve">El cuerpo humano</t>
  </si>
  <si>
    <t xml:space="preserve">Prehistoria</t>
  </si>
  <si>
    <t xml:space="preserve">Alfonso Moure</t>
  </si>
  <si>
    <t xml:space="preserve">El visitante inesperado</t>
  </si>
  <si>
    <t xml:space="preserve">Juan Martin, el Empecinado</t>
  </si>
  <si>
    <t xml:space="preserve">La luna es un cruel amante</t>
  </si>
  <si>
    <t xml:space="preserve">Asfixia</t>
  </si>
  <si>
    <t xml:space="preserve">Intrusos siderales</t>
  </si>
  <si>
    <t xml:space="preserve">Pascual Eguindano</t>
  </si>
  <si>
    <t xml:space="preserve">Cántico por Leibowitz</t>
  </si>
  <si>
    <t xml:space="preserve">Walter M. Miller</t>
  </si>
  <si>
    <t xml:space="preserve">El antiguo Oriente Próximo</t>
  </si>
  <si>
    <t xml:space="preserve">Amanda H. Podany</t>
  </si>
  <si>
    <t xml:space="preserve">Lo mejor de la ciencia ficción española</t>
  </si>
  <si>
    <t xml:space="preserve">Domingo Santos (coord.)</t>
  </si>
  <si>
    <t xml:space="preserve">Maniac</t>
  </si>
  <si>
    <t xml:space="preserve">Granada la Bella</t>
  </si>
  <si>
    <t xml:space="preserve">Angel Ganivet</t>
  </si>
  <si>
    <t xml:space="preserve">Matar a un ruiseñor</t>
  </si>
  <si>
    <t xml:space="preserve">Harper Lee</t>
  </si>
  <si>
    <t xml:space="preserve">Libros</t>
  </si>
  <si>
    <t xml:space="preserve">Páginas</t>
  </si>
  <si>
    <t xml:space="preserve">Media por libro</t>
  </si>
  <si>
    <t xml:space="preserve">Media páginas anual</t>
  </si>
  <si>
    <t xml:space="preserve">PPD</t>
  </si>
  <si>
    <t xml:space="preserve">Media</t>
  </si>
  <si>
    <t xml:space="preserve">Total</t>
  </si>
  <si>
    <t xml:space="preserve">Donde las mujeres</t>
  </si>
  <si>
    <t xml:space="preserve">Alvaro Pombo</t>
  </si>
  <si>
    <t xml:space="preserve">La fortuna de Matilda Turpin</t>
  </si>
  <si>
    <t xml:space="preserve">Una mujer en Berlín</t>
  </si>
  <si>
    <t xml:space="preserve">Anónimo</t>
  </si>
  <si>
    <t xml:space="preserve">Recopilación de cuentos</t>
  </si>
  <si>
    <t xml:space="preserve">Anton Chejov</t>
  </si>
  <si>
    <t xml:space="preserve">La muerte de Carlos…</t>
  </si>
  <si>
    <t xml:space="preserve">Antonio Lobo Antunes</t>
  </si>
  <si>
    <t xml:space="preserve">El niño asombrado</t>
  </si>
  <si>
    <t xml:space="preserve">Antonio Rabinad</t>
  </si>
  <si>
    <t xml:space="preserve">El cartero de Neruda</t>
  </si>
  <si>
    <t xml:space="preserve">Antonio Skarmeta</t>
  </si>
  <si>
    <t xml:space="preserve">Sostiene Pereira</t>
  </si>
  <si>
    <t xml:space="preserve">Antonio Tabucchi</t>
  </si>
  <si>
    <t xml:space="preserve">El misterio de Olga Chejova</t>
  </si>
  <si>
    <t xml:space="preserve">Las últimas cartas de Stalingrado</t>
  </si>
  <si>
    <t xml:space="preserve">Aristofanes</t>
  </si>
  <si>
    <t xml:space="preserve">Como ser un sinvergüenza con las mujeres</t>
  </si>
  <si>
    <t xml:space="preserve">Arturo Rosby</t>
  </si>
  <si>
    <t xml:space="preserve">El bajo imperio romano</t>
  </si>
  <si>
    <t xml:space="preserve">Antropología de la pornografía</t>
  </si>
  <si>
    <t xml:space="preserve">Bernard Arcand</t>
  </si>
  <si>
    <t xml:space="preserve">El lector</t>
  </si>
  <si>
    <t xml:space="preserve">Bernhard Schlink</t>
  </si>
  <si>
    <t xml:space="preserve">Luna park</t>
  </si>
  <si>
    <t xml:space="preserve">N ELL lun</t>
  </si>
  <si>
    <t xml:space="preserve">La Búsqueda de las Especias</t>
  </si>
  <si>
    <t xml:space="preserve">Carson I. A. Ritchie</t>
  </si>
  <si>
    <t xml:space="preserve">La estación de la calle perdida</t>
  </si>
  <si>
    <t xml:space="preserve">La Sanguijuela de mi niña</t>
  </si>
  <si>
    <t xml:space="preserve">Nana</t>
  </si>
  <si>
    <t xml:space="preserve">Maldito karma</t>
  </si>
  <si>
    <t xml:space="preserve">David Safier</t>
  </si>
  <si>
    <t xml:space="preserve">Hablemos de langostas</t>
  </si>
  <si>
    <t xml:space="preserve">David Wallace</t>
  </si>
  <si>
    <t xml:space="preserve">El desierto de los Tártaros</t>
  </si>
  <si>
    <t xml:space="preserve">Dino Buzzati</t>
  </si>
  <si>
    <t xml:space="preserve">N BUZ des </t>
  </si>
  <si>
    <t xml:space="preserve">Por qué somos como somos </t>
  </si>
  <si>
    <t xml:space="preserve">Eduardo Punset</t>
  </si>
  <si>
    <t xml:space="preserve">612 PUN por</t>
  </si>
  <si>
    <t xml:space="preserve">Los usurpadores</t>
  </si>
  <si>
    <t xml:space="preserve">Las sombras de la catedral</t>
  </si>
  <si>
    <t xml:space="preserve">Frank Schätzing</t>
  </si>
  <si>
    <t xml:space="preserve">El castillo</t>
  </si>
  <si>
    <t xml:space="preserve">Cien años de soledad </t>
  </si>
  <si>
    <t xml:space="preserve">N GAR cie</t>
  </si>
  <si>
    <t xml:space="preserve">El viajero</t>
  </si>
  <si>
    <t xml:space="preserve">Gary Jennings</t>
  </si>
  <si>
    <t xml:space="preserve">Sangre azteca </t>
  </si>
  <si>
    <t xml:space="preserve">N JEN azt</t>
  </si>
  <si>
    <t xml:space="preserve">Homenaje a Cataluña</t>
  </si>
  <si>
    <t xml:space="preserve">George Orwell</t>
  </si>
  <si>
    <t xml:space="preserve">My family and other animals</t>
  </si>
  <si>
    <t xml:space="preserve">Gerald Durrell</t>
  </si>
  <si>
    <t xml:space="preserve">N DUR mif</t>
  </si>
  <si>
    <t xml:space="preserve">El gatopardo</t>
  </si>
  <si>
    <t xml:space="preserve">Giuseppe Tomasi Di Lampedusa</t>
  </si>
  <si>
    <t xml:space="preserve">Mesias</t>
  </si>
  <si>
    <t xml:space="preserve">Gore Vidal</t>
  </si>
  <si>
    <t xml:space="preserve">El tambor de hojalata</t>
  </si>
  <si>
    <t xml:space="preserve">Günter Grass</t>
  </si>
  <si>
    <t xml:space="preserve">N GRA tam </t>
  </si>
  <si>
    <t xml:space="preserve">El golem</t>
  </si>
  <si>
    <t xml:space="preserve">Gustav Meyrink</t>
  </si>
  <si>
    <t xml:space="preserve">Madame Bovary</t>
  </si>
  <si>
    <t xml:space="preserve">Gustave Flaubert</t>
  </si>
  <si>
    <t xml:space="preserve">N FLA mad </t>
  </si>
  <si>
    <t xml:space="preserve">Sauce ciego, mujer dormida</t>
  </si>
  <si>
    <t xml:space="preserve">Haruki Murakami</t>
  </si>
  <si>
    <t xml:space="preserve">El tren llegó puntual</t>
  </si>
  <si>
    <t xml:space="preserve">Heinrich Boll</t>
  </si>
  <si>
    <t xml:space="preserve">El ojo del leopardo</t>
  </si>
  <si>
    <t xml:space="preserve">Henning Mankell</t>
  </si>
  <si>
    <t xml:space="preserve">Moby dick</t>
  </si>
  <si>
    <t xml:space="preserve">El mundo sumergido</t>
  </si>
  <si>
    <t xml:space="preserve">Esperare en Murak</t>
  </si>
  <si>
    <t xml:space="preserve">N BAL cra </t>
  </si>
  <si>
    <t xml:space="preserve">Mundo sumergido</t>
  </si>
  <si>
    <t xml:space="preserve">N BAL mun</t>
  </si>
  <si>
    <t xml:space="preserve">Los vagabundos del Dharma</t>
  </si>
  <si>
    <t xml:space="preserve">La civilización del Occidente</t>
  </si>
  <si>
    <t xml:space="preserve">Jacques Le Goff</t>
  </si>
  <si>
    <t xml:space="preserve">Los intelectuales de la Edad Media</t>
  </si>
  <si>
    <t xml:space="preserve">Sangre vagabunda</t>
  </si>
  <si>
    <t xml:space="preserve">James Ellroy</t>
  </si>
  <si>
    <t xml:space="preserve">Dublineses</t>
  </si>
  <si>
    <t xml:space="preserve">El fabuloso libro de las leyendas urbanas</t>
  </si>
  <si>
    <t xml:space="preserve">Jan Harold Brunvand</t>
  </si>
  <si>
    <t xml:space="preserve">N BRU fab 1 </t>
  </si>
  <si>
    <t xml:space="preserve">La maestra de piano</t>
  </si>
  <si>
    <t xml:space="preserve">Janice y K Lee</t>
  </si>
  <si>
    <t xml:space="preserve">Porqué es divertido el sexo</t>
  </si>
  <si>
    <t xml:space="preserve">N CER ana </t>
  </si>
  <si>
    <t xml:space="preserve">Las uvas de la ura</t>
  </si>
  <si>
    <t xml:space="preserve">John Steinbeck</t>
  </si>
  <si>
    <t xml:space="preserve">Caín</t>
  </si>
  <si>
    <t xml:space="preserve">El hombre duplicado</t>
  </si>
  <si>
    <t xml:space="preserve">Memorial del Convento</t>
  </si>
  <si>
    <t xml:space="preserve">Burlando a la parca</t>
  </si>
  <si>
    <t xml:space="preserve">Josh Bazell</t>
  </si>
  <si>
    <t xml:space="preserve">Rabos de lagartija</t>
  </si>
  <si>
    <t xml:space="preserve">Juan Marsé</t>
  </si>
  <si>
    <t xml:space="preserve">La crisis financiera</t>
  </si>
  <si>
    <t xml:space="preserve">Juan Torres López</t>
  </si>
  <si>
    <t xml:space="preserve">La iglesia de Franco</t>
  </si>
  <si>
    <t xml:space="preserve">Julian Casanova</t>
  </si>
  <si>
    <t xml:space="preserve">La guerra de las salamandras</t>
  </si>
  <si>
    <t xml:space="preserve">Karel Capek</t>
  </si>
  <si>
    <t xml:space="preserve">N CAP gue</t>
  </si>
  <si>
    <t xml:space="preserve">Volver a empezar</t>
  </si>
  <si>
    <t xml:space="preserve">Ken Grimwood</t>
  </si>
  <si>
    <t xml:space="preserve">El perro lanudo de Tom Edison</t>
  </si>
  <si>
    <t xml:space="preserve">Galápagos</t>
  </si>
  <si>
    <t xml:space="preserve">Hocus pocus</t>
  </si>
  <si>
    <t xml:space="preserve">La pianola</t>
  </si>
  <si>
    <t xml:space="preserve">Payasadas</t>
  </si>
  <si>
    <t xml:space="preserve">El hipnotista</t>
  </si>
  <si>
    <t xml:space="preserve">Lars Kepler</t>
  </si>
  <si>
    <t xml:space="preserve">Carta Blanca </t>
  </si>
  <si>
    <t xml:space="preserve">Lorenzo Silva</t>
  </si>
  <si>
    <t xml:space="preserve">N SIL car</t>
  </si>
  <si>
    <t xml:space="preserve">El hombre que calculaba</t>
  </si>
  <si>
    <t xml:space="preserve">Malba Tahan</t>
  </si>
  <si>
    <t xml:space="preserve">Andamios</t>
  </si>
  <si>
    <t xml:space="preserve">Mario Benedetti</t>
  </si>
  <si>
    <t xml:space="preserve">La cuarta K</t>
  </si>
  <si>
    <t xml:space="preserve">Mario Puzo</t>
  </si>
  <si>
    <t xml:space="preserve">Los borgia</t>
  </si>
  <si>
    <t xml:space="preserve">Antropologia cultural</t>
  </si>
  <si>
    <t xml:space="preserve">Vacas, cerdos, guerras y brujas : los enigmas de la cultura</t>
  </si>
  <si>
    <t xml:space="preserve">39 HAR vac </t>
  </si>
  <si>
    <t xml:space="preserve">Cinco horas con Mario</t>
  </si>
  <si>
    <t xml:space="preserve">Mito y realidad</t>
  </si>
  <si>
    <t xml:space="preserve">Mircea Eliade</t>
  </si>
  <si>
    <t xml:space="preserve">Neverwhere</t>
  </si>
  <si>
    <t xml:space="preserve">N GAI nev</t>
  </si>
  <si>
    <t xml:space="preserve">Así habló Zaratustra</t>
  </si>
  <si>
    <t xml:space="preserve">Nietzche</t>
  </si>
  <si>
    <t xml:space="preserve">La bodega</t>
  </si>
  <si>
    <t xml:space="preserve">Cómo nos venden la moto</t>
  </si>
  <si>
    <t xml:space="preserve">Noam Chomsky</t>
  </si>
  <si>
    <t xml:space="preserve">Historia de la pirateria</t>
  </si>
  <si>
    <t xml:space="preserve">Philip Gosse</t>
  </si>
  <si>
    <t xml:space="preserve">Mensajero del futuro</t>
  </si>
  <si>
    <t xml:space="preserve">Lo contrario de la muerte</t>
  </si>
  <si>
    <t xml:space="preserve">Roberto Saviano</t>
  </si>
  <si>
    <t xml:space="preserve">Rudyard Kipling</t>
  </si>
  <si>
    <t xml:space="preserve">Historia de Roma Libro 1 y 2</t>
  </si>
  <si>
    <t xml:space="preserve">Theodor Mommsen</t>
  </si>
  <si>
    <t xml:space="preserve">La muerte en Venecia</t>
  </si>
  <si>
    <t xml:space="preserve">Thomas Mann</t>
  </si>
  <si>
    <t xml:space="preserve">Mosquitos</t>
  </si>
  <si>
    <t xml:space="preserve">Quemando cromo </t>
  </si>
  <si>
    <t xml:space="preserve">N GIB que</t>
  </si>
  <si>
    <t xml:space="preserve">El pianista del gueto de Varsovia</t>
  </si>
  <si>
    <t xml:space="preserve">Wladyslaw Szplitz</t>
  </si>
  <si>
    <t xml:space="preserve">El idiota </t>
  </si>
  <si>
    <t xml:space="preserve">N DOS idi  </t>
  </si>
  <si>
    <t xml:space="preserve">Puertas de Fuego </t>
  </si>
  <si>
    <t xml:space="preserve">N PRE pue</t>
  </si>
  <si>
    <t xml:space="preserve">Vida y destino </t>
  </si>
  <si>
    <t xml:space="preserve">Vassili Grossman</t>
  </si>
  <si>
    <t xml:space="preserve">N GRO vid</t>
  </si>
  <si>
    <t xml:space="preserve">Este libro te salvará la vida</t>
  </si>
  <si>
    <t xml:space="preserve">A.M. Homes</t>
  </si>
  <si>
    <t xml:space="preserve">N HOM est </t>
  </si>
  <si>
    <t xml:space="preserve">Viaje al fin del milenio</t>
  </si>
  <si>
    <t xml:space="preserve">Abraham B. Yehoshúa</t>
  </si>
  <si>
    <t xml:space="preserve">N YEH via</t>
  </si>
  <si>
    <t xml:space="preserve">De jardines ajenos (Libro abierto)</t>
  </si>
  <si>
    <t xml:space="preserve">Adolfo Bioy Casares</t>
  </si>
  <si>
    <t xml:space="preserve">N BIO dej</t>
  </si>
  <si>
    <t xml:space="preserve">La analfabeta</t>
  </si>
  <si>
    <t xml:space="preserve">Agota Kristof</t>
  </si>
  <si>
    <t xml:space="preserve">N KRI ana </t>
  </si>
  <si>
    <t xml:space="preserve">Nocilla experience</t>
  </si>
  <si>
    <t xml:space="preserve">Agustín Fernández Mallo</t>
  </si>
  <si>
    <t xml:space="preserve">N FER noc</t>
  </si>
  <si>
    <t xml:space="preserve">Vía férrea</t>
  </si>
  <si>
    <t xml:space="preserve">Aharon Appelfeld</t>
  </si>
  <si>
    <t xml:space="preserve">N FER aha </t>
  </si>
  <si>
    <t xml:space="preserve">Novela-Shoa</t>
  </si>
  <si>
    <t xml:space="preserve">Reino de sombras </t>
  </si>
  <si>
    <t xml:space="preserve">Alan Furst</t>
  </si>
  <si>
    <t xml:space="preserve">N FUR rei  </t>
  </si>
  <si>
    <t xml:space="preserve">N REY esp </t>
  </si>
  <si>
    <t xml:space="preserve">El Trienio liberal</t>
  </si>
  <si>
    <t xml:space="preserve">Alberto Gil Novales</t>
  </si>
  <si>
    <t xml:space="preserve">946 GIL tri </t>
  </si>
  <si>
    <t xml:space="preserve">Los girasoles ciegos </t>
  </si>
  <si>
    <t xml:space="preserve">Alberto Méndez</t>
  </si>
  <si>
    <t xml:space="preserve">N MEN gir</t>
  </si>
  <si>
    <t xml:space="preserve">La reina Margot</t>
  </si>
  <si>
    <t xml:space="preserve">Alejandro Dumas</t>
  </si>
  <si>
    <t xml:space="preserve">N DUM rei</t>
  </si>
  <si>
    <t xml:space="preserve">El reino de este mundo</t>
  </si>
  <si>
    <t xml:space="preserve">Alejo Carpentier</t>
  </si>
  <si>
    <t xml:space="preserve">N CAR rei </t>
  </si>
  <si>
    <t xml:space="preserve">Muchos mundos en uno : la búsqueda de otros universos</t>
  </si>
  <si>
    <t xml:space="preserve">Alex Vilenkin</t>
  </si>
  <si>
    <t xml:space="preserve">524 VIL muc </t>
  </si>
  <si>
    <t xml:space="preserve">El ojo ajeno</t>
  </si>
  <si>
    <t xml:space="preserve">Alfonso Rojo</t>
  </si>
  <si>
    <t xml:space="preserve">N ROJ ojo</t>
  </si>
  <si>
    <t xml:space="preserve">El mismo mar</t>
  </si>
  <si>
    <t xml:space="preserve">Amos Oz</t>
  </si>
  <si>
    <t xml:space="preserve">N OZ mis </t>
  </si>
  <si>
    <t xml:space="preserve">Prendas íntimas : el tejido de la seducción</t>
  </si>
  <si>
    <t xml:space="preserve">Ana Rossetti</t>
  </si>
  <si>
    <t xml:space="preserve">392 ROS pre</t>
  </si>
  <si>
    <t xml:space="preserve">Erótica</t>
  </si>
  <si>
    <t xml:space="preserve">Los monederos falsos</t>
  </si>
  <si>
    <t xml:space="preserve">André Gide</t>
  </si>
  <si>
    <t xml:space="preserve">N GID mon</t>
  </si>
  <si>
    <t xml:space="preserve">Un mes con Montalbano</t>
  </si>
  <si>
    <t xml:space="preserve">Andrea Camilleri</t>
  </si>
  <si>
    <t xml:space="preserve">N CAM mes </t>
  </si>
  <si>
    <t xml:space="preserve">Postales de invierno</t>
  </si>
  <si>
    <t xml:space="preserve">Ann Beattie</t>
  </si>
  <si>
    <t xml:space="preserve">N BEA pos </t>
  </si>
  <si>
    <t xml:space="preserve">La naranja mecánica</t>
  </si>
  <si>
    <t xml:space="preserve">Anthony Burgess</t>
  </si>
  <si>
    <t xml:space="preserve">N BUR nar</t>
  </si>
  <si>
    <t xml:space="preserve">Ivánov</t>
  </si>
  <si>
    <t xml:space="preserve">Antón Chéjov</t>
  </si>
  <si>
    <t xml:space="preserve">T CHE iva </t>
  </si>
  <si>
    <t xml:space="preserve">La economía no existe</t>
  </si>
  <si>
    <t xml:space="preserve">Antonio Baños</t>
  </si>
  <si>
    <t xml:space="preserve">330 BAÑ eco </t>
  </si>
  <si>
    <t xml:space="preserve">París después de la liberación, 1944-1949</t>
  </si>
  <si>
    <t xml:space="preserve">944 BEE par</t>
  </si>
  <si>
    <t xml:space="preserve">Corsarios de levante </t>
  </si>
  <si>
    <t xml:space="preserve">N PER ave 6</t>
  </si>
  <si>
    <t xml:space="preserve">El húsar </t>
  </si>
  <si>
    <t xml:space="preserve">N PER hus</t>
  </si>
  <si>
    <t xml:space="preserve">La reina del Sur</t>
  </si>
  <si>
    <t xml:space="preserve">N PER rei</t>
  </si>
  <si>
    <t xml:space="preserve">Jesús no dijo eso</t>
  </si>
  <si>
    <t xml:space="preserve">Bart D. Ehrman</t>
  </si>
  <si>
    <t xml:space="preserve">27-31 EHR jes </t>
  </si>
  <si>
    <t xml:space="preserve">El padre de Blancanieves</t>
  </si>
  <si>
    <t xml:space="preserve">Belén Gopegui</t>
  </si>
  <si>
    <t xml:space="preserve">N GOP pad </t>
  </si>
  <si>
    <t xml:space="preserve">N BRY enl</t>
  </si>
  <si>
    <t xml:space="preserve">Historias de un gran país</t>
  </si>
  <si>
    <t xml:space="preserve">N BRY his</t>
  </si>
  <si>
    <t xml:space="preserve">La estúpida historia de la especie humana</t>
  </si>
  <si>
    <t xml:space="preserve">Bob Fenster</t>
  </si>
  <si>
    <t xml:space="preserve">N FEN est</t>
  </si>
  <si>
    <t xml:space="preserve">El lobo-hombre </t>
  </si>
  <si>
    <t xml:space="preserve">Boris Vian </t>
  </si>
  <si>
    <t xml:space="preserve">N VIA lob </t>
  </si>
  <si>
    <t xml:space="preserve">Los confidentes</t>
  </si>
  <si>
    <t xml:space="preserve">N ELL con </t>
  </si>
  <si>
    <t xml:space="preserve">El gran calentamiento</t>
  </si>
  <si>
    <t xml:space="preserve">Brian Fagan</t>
  </si>
  <si>
    <t xml:space="preserve">551 FAG gra </t>
  </si>
  <si>
    <t xml:space="preserve">Historia de las orgías</t>
  </si>
  <si>
    <t xml:space="preserve">Burgo Partridge</t>
  </si>
  <si>
    <t xml:space="preserve">392 PAR his </t>
  </si>
  <si>
    <t xml:space="preserve">Paracuellos</t>
  </si>
  <si>
    <t xml:space="preserve">Carlos Gimenez</t>
  </si>
  <si>
    <t xml:space="preserve">C-E GIM par 1 </t>
  </si>
  <si>
    <t xml:space="preserve">La sombra del viento</t>
  </si>
  <si>
    <t xml:space="preserve">Carlos Ruiz Zafón</t>
  </si>
  <si>
    <t xml:space="preserve">N RUI som</t>
  </si>
  <si>
    <t xml:space="preserve">Godoy : El hombre y el político</t>
  </si>
  <si>
    <t xml:space="preserve">Carlos Seco Serrano</t>
  </si>
  <si>
    <t xml:space="preserve">B GOD sec </t>
  </si>
  <si>
    <t xml:space="preserve">Biografía-Historia</t>
  </si>
  <si>
    <t xml:space="preserve">El corazón es un cazador solitario</t>
  </si>
  <si>
    <t xml:space="preserve">Carson McCullers</t>
  </si>
  <si>
    <t xml:space="preserve">N MCC cor </t>
  </si>
  <si>
    <t xml:space="preserve">1491: Una nueva historia de las Américas antes de Colón</t>
  </si>
  <si>
    <t xml:space="preserve">939.9 MAN mil </t>
  </si>
  <si>
    <t xml:space="preserve">El consejo de hierro</t>
  </si>
  <si>
    <t xml:space="preserve">N MIE con </t>
  </si>
  <si>
    <t xml:space="preserve">Silencio</t>
  </si>
  <si>
    <t xml:space="preserve">Clarice Lispector</t>
  </si>
  <si>
    <t xml:space="preserve">N LIS sil</t>
  </si>
  <si>
    <t xml:space="preserve">La gata</t>
  </si>
  <si>
    <t xml:space="preserve">Colette</t>
  </si>
  <si>
    <t xml:space="preserve">N COL gat </t>
  </si>
  <si>
    <t xml:space="preserve">La última batalla: la caída de Berlín y la derrota del nazismo</t>
  </si>
  <si>
    <t xml:space="preserve">Cornelius Ryan</t>
  </si>
  <si>
    <t xml:space="preserve">94 RYA ult </t>
  </si>
  <si>
    <t xml:space="preserve">N MAL pie </t>
  </si>
  <si>
    <t xml:space="preserve">Novela-Guerra Mundial</t>
  </si>
  <si>
    <t xml:space="preserve">Como ganar amigos e influir sobre las personas</t>
  </si>
  <si>
    <t xml:space="preserve">Dale Carnegie</t>
  </si>
  <si>
    <t xml:space="preserve">XXXXXX</t>
  </si>
  <si>
    <t xml:space="preserve">El ascenso de Endymion </t>
  </si>
  <si>
    <t xml:space="preserve">N SIM asc</t>
  </si>
  <si>
    <t xml:space="preserve">Los descubridores. I, El tiempo y la geografía</t>
  </si>
  <si>
    <t xml:space="preserve">001 BOO des 1 </t>
  </si>
  <si>
    <t xml:space="preserve">Los descubridores. II, La naturaleza y la sociedad</t>
  </si>
  <si>
    <t xml:space="preserve">001 BOO des 2 </t>
  </si>
  <si>
    <t xml:space="preserve">La sonrisa del cordero</t>
  </si>
  <si>
    <t xml:space="preserve">David Grossman</t>
  </si>
  <si>
    <t xml:space="preserve">N GRO son </t>
  </si>
  <si>
    <t xml:space="preserve">El lenguaje perdido de las grúas</t>
  </si>
  <si>
    <t xml:space="preserve">David Leavitt</t>
  </si>
  <si>
    <t xml:space="preserve">N LEA len</t>
  </si>
  <si>
    <t xml:space="preserve">Anna la dulce</t>
  </si>
  <si>
    <t xml:space="preserve">Dezsö Kosztolányi</t>
  </si>
  <si>
    <t xml:space="preserve">N KOS ann </t>
  </si>
  <si>
    <t xml:space="preserve">Ojos de agua</t>
  </si>
  <si>
    <t xml:space="preserve">Domingo Villar</t>
  </si>
  <si>
    <t xml:space="preserve">N VIL ojo</t>
  </si>
  <si>
    <t xml:space="preserve">Americana </t>
  </si>
  <si>
    <t xml:space="preserve">N DEL ame </t>
  </si>
  <si>
    <t xml:space="preserve">Mañana no estarán</t>
  </si>
  <si>
    <t xml:space="preserve">502 ADA mañ </t>
  </si>
  <si>
    <t xml:space="preserve">El animal que cocina</t>
  </si>
  <si>
    <t xml:space="preserve">Eduardo Angulo</t>
  </si>
  <si>
    <t xml:space="preserve">641 ANG ani </t>
  </si>
  <si>
    <t xml:space="preserve">El último trayecto de Horacio Dos </t>
  </si>
  <si>
    <t xml:space="preserve">Eduardo Mendoza</t>
  </si>
  <si>
    <t xml:space="preserve">N MEN ult</t>
  </si>
  <si>
    <t xml:space="preserve">London</t>
  </si>
  <si>
    <t xml:space="preserve">Edward Rutherfurd</t>
  </si>
  <si>
    <t xml:space="preserve">N RUT lon </t>
  </si>
  <si>
    <t xml:space="preserve">En Grand Central Station me senté y lloré</t>
  </si>
  <si>
    <t xml:space="preserve">Elizabeth Smart</t>
  </si>
  <si>
    <t xml:space="preserve">N SMA eng </t>
  </si>
  <si>
    <t xml:space="preserve">Teresa Raquín</t>
  </si>
  <si>
    <t xml:space="preserve">Émile Zola</t>
  </si>
  <si>
    <t xml:space="preserve">N ZOL ter </t>
  </si>
  <si>
    <t xml:space="preserve">Historias de Nueva York </t>
  </si>
  <si>
    <t xml:space="preserve">El mal de Montano</t>
  </si>
  <si>
    <t xml:space="preserve">N VIL mal</t>
  </si>
  <si>
    <t xml:space="preserve">Fiesta</t>
  </si>
  <si>
    <t xml:space="preserve">Ernest Hemingway</t>
  </si>
  <si>
    <t xml:space="preserve">N HEM fie</t>
  </si>
  <si>
    <t xml:space="preserve">Sobre los acantilados de mármol</t>
  </si>
  <si>
    <t xml:space="preserve">Ernst Jünger</t>
  </si>
  <si>
    <t xml:space="preserve">N JUN sob </t>
  </si>
  <si>
    <t xml:space="preserve">Medea</t>
  </si>
  <si>
    <t xml:space="preserve">Eurípides</t>
  </si>
  <si>
    <t xml:space="preserve">T EUR med </t>
  </si>
  <si>
    <t xml:space="preserve">Los demonios</t>
  </si>
  <si>
    <t xml:space="preserve">N DOS dem 1 </t>
  </si>
  <si>
    <t xml:space="preserve">Historia universal de la destrucción de libros</t>
  </si>
  <si>
    <t xml:space="preserve">Fernando Báez</t>
  </si>
  <si>
    <t xml:space="preserve">002(09) BAE his </t>
  </si>
  <si>
    <t xml:space="preserve">Libro del desasosiego</t>
  </si>
  <si>
    <t xml:space="preserve">Fernando Pessoa</t>
  </si>
  <si>
    <t xml:space="preserve">N PES lib</t>
  </si>
  <si>
    <t xml:space="preserve">Buenos días, tristeza</t>
  </si>
  <si>
    <t xml:space="preserve">Françoise Sagan</t>
  </si>
  <si>
    <t xml:space="preserve">N SAG bue </t>
  </si>
  <si>
    <t xml:space="preserve">América</t>
  </si>
  <si>
    <t xml:space="preserve">N KAF ame </t>
  </si>
  <si>
    <t xml:space="preserve">Memoria de mis putas tristes</t>
  </si>
  <si>
    <t xml:space="preserve">N GAR mem</t>
  </si>
  <si>
    <t xml:space="preserve">Introducción a la España medieval  </t>
  </si>
  <si>
    <t xml:space="preserve">Gabriel Jackson</t>
  </si>
  <si>
    <t xml:space="preserve">946 JAC int</t>
  </si>
  <si>
    <t xml:space="preserve">Biografía de la física</t>
  </si>
  <si>
    <t xml:space="preserve">George Gamow</t>
  </si>
  <si>
    <t xml:space="preserve">53(09) GAM bio </t>
  </si>
  <si>
    <t xml:space="preserve">Pastoralia</t>
  </si>
  <si>
    <t xml:space="preserve">George Saunders</t>
  </si>
  <si>
    <t xml:space="preserve">N SAU pas </t>
  </si>
  <si>
    <t xml:space="preserve">Lo que está mal en el mundo</t>
  </si>
  <si>
    <t xml:space="preserve">Gilbert K. Chesterton</t>
  </si>
  <si>
    <t xml:space="preserve">316 CHE loq </t>
  </si>
  <si>
    <t xml:space="preserve">Imperio</t>
  </si>
  <si>
    <t xml:space="preserve">N VID imp</t>
  </si>
  <si>
    <t xml:space="preserve">Los comediantes</t>
  </si>
  <si>
    <t xml:space="preserve">Graham Greene</t>
  </si>
  <si>
    <t xml:space="preserve">N GRE com </t>
  </si>
  <si>
    <t xml:space="preserve">Ciudad permutación </t>
  </si>
  <si>
    <t xml:space="preserve">Greg Eagan </t>
  </si>
  <si>
    <t xml:space="preserve">N GEA ciu  </t>
  </si>
  <si>
    <t xml:space="preserve">El libro de los hechos insólitos</t>
  </si>
  <si>
    <t xml:space="preserve">Gregorio Doval</t>
  </si>
  <si>
    <t xml:space="preserve">088 DOV enc </t>
  </si>
  <si>
    <t xml:space="preserve">La casa Tellier y otros cuentos eróticos</t>
  </si>
  <si>
    <t xml:space="preserve">Guy de Maupassant</t>
  </si>
  <si>
    <t xml:space="preserve">N MAU cas</t>
  </si>
  <si>
    <t xml:space="preserve">Pyongyang</t>
  </si>
  <si>
    <t xml:space="preserve">Guy Delisle</t>
  </si>
  <si>
    <t xml:space="preserve">C-E DEL pyo</t>
  </si>
  <si>
    <t xml:space="preserve">Comic - Viajes</t>
  </si>
  <si>
    <t xml:space="preserve">Animales y más que animales </t>
  </si>
  <si>
    <t xml:space="preserve">H.H. Munro Saki</t>
  </si>
  <si>
    <t xml:space="preserve">N SAK ani </t>
  </si>
  <si>
    <t xml:space="preserve">Cuando Kafka vino hacia mí</t>
  </si>
  <si>
    <t xml:space="preserve">Hans-Gerd Koch</t>
  </si>
  <si>
    <t xml:space="preserve">B KAF cua </t>
  </si>
  <si>
    <t xml:space="preserve">Sputnik, mi amor</t>
  </si>
  <si>
    <t xml:space="preserve">N MUR spu </t>
  </si>
  <si>
    <t xml:space="preserve">Hélène Berr</t>
  </si>
  <si>
    <t xml:space="preserve">B BER dia </t>
  </si>
  <si>
    <t xml:space="preserve">Antes de que hiele</t>
  </si>
  <si>
    <t xml:space="preserve">N MAN ant </t>
  </si>
  <si>
    <t xml:space="preserve">El chino</t>
  </si>
  <si>
    <t xml:space="preserve">N MAN chi </t>
  </si>
  <si>
    <t xml:space="preserve">El hijo del viento</t>
  </si>
  <si>
    <t xml:space="preserve">N MAN hij</t>
  </si>
  <si>
    <t xml:space="preserve">El retorno del profesor de baile</t>
  </si>
  <si>
    <t xml:space="preserve">N MAN ret </t>
  </si>
  <si>
    <t xml:space="preserve">La pirámide</t>
  </si>
  <si>
    <t xml:space="preserve">N MAN pir </t>
  </si>
  <si>
    <t xml:space="preserve">La quinta mujer</t>
  </si>
  <si>
    <t xml:space="preserve">N MAN qui </t>
  </si>
  <si>
    <t xml:space="preserve">Profundidades</t>
  </si>
  <si>
    <t xml:space="preserve">N MAN pro </t>
  </si>
  <si>
    <t xml:space="preserve">Jules y Jim</t>
  </si>
  <si>
    <t xml:space="preserve">Henri Pierre Roche</t>
  </si>
  <si>
    <t xml:space="preserve">N ROC jul </t>
  </si>
  <si>
    <t xml:space="preserve">Tras las huellas de Adán</t>
  </si>
  <si>
    <t xml:space="preserve">Herbert Wendt</t>
  </si>
  <si>
    <t xml:space="preserve">572 WEN tra </t>
  </si>
  <si>
    <t xml:space="preserve">Fernando e Isabel</t>
  </si>
  <si>
    <t xml:space="preserve">Hermann Kesten</t>
  </si>
  <si>
    <t xml:space="preserve">N KES fer</t>
  </si>
  <si>
    <t xml:space="preserve">El Imperio español: de Colón a Magallanes</t>
  </si>
  <si>
    <t xml:space="preserve">946 THO imp </t>
  </si>
  <si>
    <t xml:space="preserve">972 THO con </t>
  </si>
  <si>
    <t xml:space="preserve">Decisiones trascendentales: de Dunquerque a Pearl Harbour (1940-1941): el año que cambió la historia</t>
  </si>
  <si>
    <t xml:space="preserve">Ian Kershaw</t>
  </si>
  <si>
    <t xml:space="preserve">94/99 KER dec </t>
  </si>
  <si>
    <t xml:space="preserve">Amsterdam </t>
  </si>
  <si>
    <t xml:space="preserve">Ian McEwan</t>
  </si>
  <si>
    <t xml:space="preserve">N MCE ams</t>
  </si>
  <si>
    <t xml:space="preserve">Gran Sol</t>
  </si>
  <si>
    <t xml:space="preserve">Ignacio Aldecoa</t>
  </si>
  <si>
    <t xml:space="preserve">N ALD gra</t>
  </si>
  <si>
    <t xml:space="preserve">La sangre de los inocentes</t>
  </si>
  <si>
    <t xml:space="preserve">Isabel Navarro</t>
  </si>
  <si>
    <t xml:space="preserve">N NAV san</t>
  </si>
  <si>
    <t xml:space="preserve">La Biblia desenterrada</t>
  </si>
  <si>
    <t xml:space="preserve">Israel Finkelstein</t>
  </si>
  <si>
    <t xml:space="preserve">933 FIN bib </t>
  </si>
  <si>
    <t xml:space="preserve">Historia-Arqueología</t>
  </si>
  <si>
    <t xml:space="preserve">Un puente sobre el Drina </t>
  </si>
  <si>
    <t xml:space="preserve">Ivo Andric</t>
  </si>
  <si>
    <t xml:space="preserve">Crash  </t>
  </si>
  <si>
    <t xml:space="preserve">Un palacio para el rey : el Buen Retiro y la corte de Felipe IV</t>
  </si>
  <si>
    <t xml:space="preserve">M 728 BRO pal </t>
  </si>
  <si>
    <t xml:space="preserve">La rama dorada : magia y religión</t>
  </si>
  <si>
    <t xml:space="preserve">James Frazer</t>
  </si>
  <si>
    <t xml:space="preserve">2-9 FRA ram </t>
  </si>
  <si>
    <r>
      <rPr>
        <sz val="10"/>
        <rFont val="Arial"/>
        <family val="2"/>
      </rPr>
      <t xml:space="preserve">Dos damas muy serias</t>
    </r>
    <r>
      <rPr>
        <sz val="12"/>
        <color rgb="FF333333"/>
        <rFont val="Tahoma"/>
        <family val="2"/>
      </rPr>
      <t xml:space="preserve"> </t>
    </r>
  </si>
  <si>
    <t xml:space="preserve">Jane Bowles</t>
  </si>
  <si>
    <t xml:space="preserve">Rostros en el agua</t>
  </si>
  <si>
    <t xml:space="preserve">Janet Frame</t>
  </si>
  <si>
    <t xml:space="preserve">N FRA ros </t>
  </si>
  <si>
    <t xml:space="preserve">Colapso: por qué unas sociedades perduran y otras desaparecen</t>
  </si>
  <si>
    <t xml:space="preserve">008 DIA col</t>
  </si>
  <si>
    <t xml:space="preserve">El inquilino</t>
  </si>
  <si>
    <t xml:space="preserve">N CER inq </t>
  </si>
  <si>
    <t xml:space="preserve">Los orígenes del pensamiento reaccionario español</t>
  </si>
  <si>
    <t xml:space="preserve">Javier Herrero</t>
  </si>
  <si>
    <t xml:space="preserve">329 HER ori </t>
  </si>
  <si>
    <t xml:space="preserve">Tu rostro mañana 1. Fiebre y lanza</t>
  </si>
  <si>
    <t xml:space="preserve">Javier Marias</t>
  </si>
  <si>
    <t xml:space="preserve">N MAR tur 1 </t>
  </si>
  <si>
    <t xml:space="preserve">Venga a nosotros tu reino</t>
  </si>
  <si>
    <t xml:space="preserve">Javier Reverte</t>
  </si>
  <si>
    <t xml:space="preserve">N MAR ven </t>
  </si>
  <si>
    <t xml:space="preserve">Siglo XX</t>
  </si>
  <si>
    <t xml:space="preserve">Javier Tusell</t>
  </si>
  <si>
    <t xml:space="preserve">946 MAN tus 6 </t>
  </si>
  <si>
    <t xml:space="preserve">Ancho mar de los Sargazos</t>
  </si>
  <si>
    <t xml:space="preserve">Jean Rhys</t>
  </si>
  <si>
    <t xml:space="preserve">N RHY anc </t>
  </si>
  <si>
    <t xml:space="preserve">HIERRO en las espinacas y otras creencias</t>
  </si>
  <si>
    <t xml:space="preserve">Jean-François Bouvet</t>
  </si>
  <si>
    <t xml:space="preserve">5/6 HIE </t>
  </si>
  <si>
    <t xml:space="preserve">En el día de hoy</t>
  </si>
  <si>
    <t xml:space="preserve">Jesús Torbado</t>
  </si>
  <si>
    <t xml:space="preserve">N TOR ene </t>
  </si>
  <si>
    <t xml:space="preserve">El libro negro de Carrillo</t>
  </si>
  <si>
    <t xml:space="preserve">JJ Esparza</t>
  </si>
  <si>
    <t xml:space="preserve">El libro negro del Comunismo</t>
  </si>
  <si>
    <t xml:space="preserve">Erase una vez un número</t>
  </si>
  <si>
    <t xml:space="preserve">John Allen Paulos</t>
  </si>
  <si>
    <t xml:space="preserve">51 PAU era </t>
  </si>
  <si>
    <t xml:space="preserve">El libro de la nada</t>
  </si>
  <si>
    <t xml:space="preserve">John D. Barrow</t>
  </si>
  <si>
    <t xml:space="preserve">510 BAR lib </t>
  </si>
  <si>
    <t xml:space="preserve">Matemáticas</t>
  </si>
  <si>
    <t xml:space="preserve">Camino de Los Ángeles</t>
  </si>
  <si>
    <t xml:space="preserve">N FAN cam </t>
  </si>
  <si>
    <t xml:space="preserve">Sueños de Bunker Hill</t>
  </si>
  <si>
    <t xml:space="preserve">N FAN sue </t>
  </si>
  <si>
    <t xml:space="preserve">Historia de las armas y guerras </t>
  </si>
  <si>
    <t xml:space="preserve">John Guy</t>
  </si>
  <si>
    <t xml:space="preserve">American apocalypse </t>
  </si>
  <si>
    <t xml:space="preserve">John Kessel</t>
  </si>
  <si>
    <t xml:space="preserve">N KES ame</t>
  </si>
  <si>
    <t xml:space="preserve">El pequeño gran libro de la ignorancia (animal)</t>
  </si>
  <si>
    <t xml:space="preserve">John Lloyd</t>
  </si>
  <si>
    <t xml:space="preserve">088 LLO peq</t>
  </si>
  <si>
    <t xml:space="preserve">Cinco días en Londres, mayo de 1940 : Churchill frente a Hitler</t>
  </si>
  <si>
    <t xml:space="preserve">John Lukacs</t>
  </si>
  <si>
    <t xml:space="preserve">94 LUK cin </t>
  </si>
  <si>
    <t xml:space="preserve">El Hitler de la historia</t>
  </si>
  <si>
    <t xml:space="preserve">B HIT luk </t>
  </si>
  <si>
    <t xml:space="preserve">En busca del candidato de Manchuria</t>
  </si>
  <si>
    <t xml:space="preserve">John Marks</t>
  </si>
  <si>
    <t xml:space="preserve">327 MAR enb </t>
  </si>
  <si>
    <t xml:space="preserve">Corre, conejo</t>
  </si>
  <si>
    <t xml:space="preserve">John Updike</t>
  </si>
  <si>
    <t xml:space="preserve">N UPD cor</t>
  </si>
  <si>
    <t xml:space="preserve">Manual de supervivencia</t>
  </si>
  <si>
    <t xml:space="preserve">John Wiseman</t>
  </si>
  <si>
    <t xml:space="preserve">614 WIS man</t>
  </si>
  <si>
    <t xml:space="preserve">Tantas maneras de empezar </t>
  </si>
  <si>
    <t xml:space="preserve">Jon McGregor</t>
  </si>
  <si>
    <t xml:space="preserve">N MCG tan  </t>
  </si>
  <si>
    <t xml:space="preserve">La dama número trece</t>
  </si>
  <si>
    <t xml:space="preserve">José Carlos Somoza</t>
  </si>
  <si>
    <t xml:space="preserve">N SOM dam</t>
  </si>
  <si>
    <t xml:space="preserve">También se divierte el pueblo</t>
  </si>
  <si>
    <t xml:space="preserve">José Deleito y Piñuela</t>
  </si>
  <si>
    <t xml:space="preserve">946 DEL tam </t>
  </si>
  <si>
    <t xml:space="preserve">Roma en guerra</t>
  </si>
  <si>
    <t xml:space="preserve">José Ignacio Lago</t>
  </si>
  <si>
    <t xml:space="preserve">355 LAG rom </t>
  </si>
  <si>
    <t xml:space="preserve">Bajarse al moro</t>
  </si>
  <si>
    <t xml:space="preserve">José Luis Alonso de Santos</t>
  </si>
  <si>
    <t xml:space="preserve">T ALO baj </t>
  </si>
  <si>
    <t xml:space="preserve">Los pecados de la carne</t>
  </si>
  <si>
    <t xml:space="preserve">José María López Ruiz</t>
  </si>
  <si>
    <t xml:space="preserve">82 LOP pec </t>
  </si>
  <si>
    <t xml:space="preserve">La infanta republicana: Eulalia de Borbón</t>
  </si>
  <si>
    <t xml:space="preserve">José María Zavala</t>
  </si>
  <si>
    <t xml:space="preserve">B BOR zav</t>
  </si>
  <si>
    <t xml:space="preserve">La maldición de los Borbones</t>
  </si>
  <si>
    <t xml:space="preserve">946 ZAV mal </t>
  </si>
  <si>
    <t xml:space="preserve">Los gángsters de la Guerra Civil</t>
  </si>
  <si>
    <t xml:space="preserve">946 ZAV gan </t>
  </si>
  <si>
    <t xml:space="preserve">Los horrores de la Guerra Civil</t>
  </si>
  <si>
    <t xml:space="preserve">946 ZAV hor </t>
  </si>
  <si>
    <t xml:space="preserve">Catch-22</t>
  </si>
  <si>
    <t xml:space="preserve">Joseph Heller</t>
  </si>
  <si>
    <t xml:space="preserve">N HEL tra</t>
  </si>
  <si>
    <t xml:space="preserve">Breve historia del Satanismo</t>
  </si>
  <si>
    <t xml:space="preserve">Joseph McCabe</t>
  </si>
  <si>
    <t xml:space="preserve">Náufragos de antaño</t>
  </si>
  <si>
    <t xml:space="preserve">Juan Campos Calvo Sotelo</t>
  </si>
  <si>
    <t xml:space="preserve">656 CAM nau </t>
  </si>
  <si>
    <t xml:space="preserve">Ni pies ni cabeza</t>
  </si>
  <si>
    <t xml:space="preserve">Juan Carlos Córdoba</t>
  </si>
  <si>
    <t xml:space="preserve">Guerra y vicisitudes de los españoles</t>
  </si>
  <si>
    <t xml:space="preserve">Julián Zugazagoitia</t>
  </si>
  <si>
    <t xml:space="preserve">946 ZUG gue </t>
  </si>
  <si>
    <t xml:space="preserve">El cielo de Madrid </t>
  </si>
  <si>
    <t xml:space="preserve">Julio Llamazares</t>
  </si>
  <si>
    <t xml:space="preserve">N LLA cie</t>
  </si>
  <si>
    <t xml:space="preserve">Todos los jóvenes tristes y literarios</t>
  </si>
  <si>
    <t xml:space="preserve">Keith Gessen</t>
  </si>
  <si>
    <t xml:space="preserve">N GES tod </t>
  </si>
  <si>
    <t xml:space="preserve">Mil soles espléndidos</t>
  </si>
  <si>
    <t xml:space="preserve">Khaled Hosseini</t>
  </si>
  <si>
    <t xml:space="preserve">N HOS mil </t>
  </si>
  <si>
    <t xml:space="preserve">La suerte de Jim </t>
  </si>
  <si>
    <t xml:space="preserve">Kingsley Amis </t>
  </si>
  <si>
    <t xml:space="preserve">N AMI sue  </t>
  </si>
  <si>
    <t xml:space="preserve">Mundo anillo</t>
  </si>
  <si>
    <t xml:space="preserve">Larry Niven </t>
  </si>
  <si>
    <t xml:space="preserve">N NIV mun </t>
  </si>
  <si>
    <t xml:space="preserve">El partido de Londres</t>
  </si>
  <si>
    <t xml:space="preserve">Len Deighton</t>
  </si>
  <si>
    <t xml:space="preserve">N DEI par </t>
  </si>
  <si>
    <t xml:space="preserve">¿Cuánto pesa el alma?</t>
  </si>
  <si>
    <t xml:space="preserve">Len Fisher</t>
  </si>
  <si>
    <t xml:space="preserve">5/6 FIS cua </t>
  </si>
  <si>
    <t xml:space="preserve">Curiosidades</t>
  </si>
  <si>
    <t xml:space="preserve">Guerra y paz </t>
  </si>
  <si>
    <t xml:space="preserve">Leon Tolstoi</t>
  </si>
  <si>
    <t xml:space="preserve">N TOL gue</t>
  </si>
  <si>
    <t xml:space="preserve">La muerte de Iván Ilitch</t>
  </si>
  <si>
    <t xml:space="preserve">N TOL mue </t>
  </si>
  <si>
    <t xml:space="preserve">El déspota adolescente</t>
  </si>
  <si>
    <t xml:space="preserve">N SIL des</t>
  </si>
  <si>
    <t xml:space="preserve">Freud, el genio y sus sombras</t>
  </si>
  <si>
    <t xml:space="preserve">Louis Breger</t>
  </si>
  <si>
    <t xml:space="preserve">B FRE bre </t>
  </si>
  <si>
    <t xml:space="preserve">¿Qué es el sexo?</t>
  </si>
  <si>
    <t xml:space="preserve">612 MAR que </t>
  </si>
  <si>
    <t xml:space="preserve">Fueras de serie</t>
  </si>
  <si>
    <t xml:space="preserve">Malcolm Gladwell</t>
  </si>
  <si>
    <t xml:space="preserve">174 GLA fue</t>
  </si>
  <si>
    <t xml:space="preserve">Inteligencia intuitiva</t>
  </si>
  <si>
    <t xml:space="preserve">159 GLA int </t>
  </si>
  <si>
    <t xml:space="preserve">La clave del éxito</t>
  </si>
  <si>
    <t xml:space="preserve">159 GLA cla </t>
  </si>
  <si>
    <t xml:space="preserve">Iberia: la puerta iluminada</t>
  </si>
  <si>
    <t xml:space="preserve">Manuel de Lope</t>
  </si>
  <si>
    <t xml:space="preserve">N LOP ibe</t>
  </si>
  <si>
    <t xml:space="preserve">Yo te diré:la verdadera historia de los últimos de Filipinas (1898-1998)</t>
  </si>
  <si>
    <t xml:space="preserve">Manuel Leguineche</t>
  </si>
  <si>
    <t xml:space="preserve">959 LEG yot</t>
  </si>
  <si>
    <t xml:space="preserve">Capitán de las sardinas </t>
  </si>
  <si>
    <t xml:space="preserve">Manuel Manzano</t>
  </si>
  <si>
    <t xml:space="preserve">N MAN cap</t>
  </si>
  <si>
    <t xml:space="preserve">Los libros arden mal </t>
  </si>
  <si>
    <t xml:space="preserve">Manuel Rivas</t>
  </si>
  <si>
    <t xml:space="preserve">N RIV lib</t>
  </si>
  <si>
    <t xml:space="preserve">La gran tentación: Franco, el imperio colonial y el proyecto de intervención española en la Segunda Guerra Mundial</t>
  </si>
  <si>
    <t xml:space="preserve">Manuel Ros Agudo</t>
  </si>
  <si>
    <t xml:space="preserve">946 ROS gra</t>
  </si>
  <si>
    <t xml:space="preserve">Los celtas</t>
  </si>
  <si>
    <t xml:space="preserve">Manuel Yáñez Solana</t>
  </si>
  <si>
    <t xml:space="preserve">936 YAÑ cel </t>
  </si>
  <si>
    <t xml:space="preserve">País íntimo</t>
  </si>
  <si>
    <t xml:space="preserve">Maria Barbal</t>
  </si>
  <si>
    <t xml:space="preserve">N BAR pai </t>
  </si>
  <si>
    <t xml:space="preserve">La tregua</t>
  </si>
  <si>
    <t xml:space="preserve">N BEN tre</t>
  </si>
  <si>
    <t xml:space="preserve">La proporción Áurea</t>
  </si>
  <si>
    <t xml:space="preserve">Mario Livio</t>
  </si>
  <si>
    <t xml:space="preserve">51 LIV pro</t>
  </si>
  <si>
    <t xml:space="preserve">Quieto</t>
  </si>
  <si>
    <t xml:space="preserve">Màrius Serra</t>
  </si>
  <si>
    <t xml:space="preserve">N SER qui </t>
  </si>
  <si>
    <t xml:space="preserve">Alejandro Magno</t>
  </si>
  <si>
    <t xml:space="preserve">Mary Renault</t>
  </si>
  <si>
    <t xml:space="preserve">B ALE ren </t>
  </si>
  <si>
    <t xml:space="preserve">Isaiah Berlin : Su vida</t>
  </si>
  <si>
    <t xml:space="preserve">Michael Ignatieff</t>
  </si>
  <si>
    <t xml:space="preserve">B BER ign </t>
  </si>
  <si>
    <t xml:space="preserve">Plataforma</t>
  </si>
  <si>
    <t xml:space="preserve">Michel Houellebecq</t>
  </si>
  <si>
    <t xml:space="preserve">N HOU pla </t>
  </si>
  <si>
    <t xml:space="preserve">Hiperespacio</t>
  </si>
  <si>
    <t xml:space="preserve">Michio Kaku</t>
  </si>
  <si>
    <t xml:space="preserve">514 KAK hip </t>
  </si>
  <si>
    <t xml:space="preserve">Un héroe de nuestro tiempo</t>
  </si>
  <si>
    <t xml:space="preserve">Mijaíl Lérmontov</t>
  </si>
  <si>
    <t xml:space="preserve">N LER her </t>
  </si>
  <si>
    <t xml:space="preserve">Tiempo de cerezas</t>
  </si>
  <si>
    <t xml:space="preserve">Montserrat Roig</t>
  </si>
  <si>
    <t xml:space="preserve">N ROI tie </t>
  </si>
  <si>
    <t xml:space="preserve">La plenitud de la señorita Brodie</t>
  </si>
  <si>
    <t xml:space="preserve">Muriel Spark</t>
  </si>
  <si>
    <t xml:space="preserve">N SPA ple </t>
  </si>
  <si>
    <t xml:space="preserve">A la caza del amor</t>
  </si>
  <si>
    <t xml:space="preserve">Nancy Mitford</t>
  </si>
  <si>
    <t xml:space="preserve">N MIT ala </t>
  </si>
  <si>
    <t xml:space="preserve">La doctrina del "shock"</t>
  </si>
  <si>
    <t xml:space="preserve">Naomi Klein</t>
  </si>
  <si>
    <t xml:space="preserve">330 KLE doc</t>
  </si>
  <si>
    <t xml:space="preserve">N GAI ame</t>
  </si>
  <si>
    <t xml:space="preserve">Menudas historias de la historia</t>
  </si>
  <si>
    <t xml:space="preserve">94/99 CON men </t>
  </si>
  <si>
    <t xml:space="preserve">Polvo eres : reyes, papas y santos</t>
  </si>
  <si>
    <t xml:space="preserve">B CON pol</t>
  </si>
  <si>
    <t xml:space="preserve">Taras Bulba</t>
  </si>
  <si>
    <t xml:space="preserve">Nikolai Gogol</t>
  </si>
  <si>
    <t xml:space="preserve">N GOG tar </t>
  </si>
  <si>
    <t xml:space="preserve">Ilusiones de Oriente Medio </t>
  </si>
  <si>
    <t xml:space="preserve">327 CHO ilu</t>
  </si>
  <si>
    <t xml:space="preserve">Aquí Bagdad : crónica de una guerra</t>
  </si>
  <si>
    <t xml:space="preserve">Olga Rodríguez</t>
  </si>
  <si>
    <t xml:space="preserve">956.7 ROD aqu </t>
  </si>
  <si>
    <t xml:space="preserve">Ucrania</t>
  </si>
  <si>
    <t xml:space="preserve">Pablo Aranda</t>
  </si>
  <si>
    <t xml:space="preserve">N ARA ucr </t>
  </si>
  <si>
    <t xml:space="preserve">Leviatán </t>
  </si>
  <si>
    <t xml:space="preserve">N AUS lev</t>
  </si>
  <si>
    <t xml:space="preserve">La Noche de los Cuchillos Largos</t>
  </si>
  <si>
    <t xml:space="preserve">Paul R. Maracin</t>
  </si>
  <si>
    <t xml:space="preserve">Filosofía para bufones </t>
  </si>
  <si>
    <t xml:space="preserve">Pedro González Calero</t>
  </si>
  <si>
    <t xml:space="preserve">1 GON fil</t>
  </si>
  <si>
    <t xml:space="preserve">El reverso de la historia</t>
  </si>
  <si>
    <t xml:space="preserve">Pedro Voltes</t>
  </si>
  <si>
    <t xml:space="preserve">94/99 VOL rev</t>
  </si>
  <si>
    <t xml:space="preserve">Conan Doyle, detective: los auténticos crímenes que investigó el creador de Sherlock Holmes</t>
  </si>
  <si>
    <t xml:space="preserve">Peter Costello</t>
  </si>
  <si>
    <t xml:space="preserve">B DOY cos </t>
  </si>
  <si>
    <t xml:space="preserve">Heinrich Himmler</t>
  </si>
  <si>
    <t xml:space="preserve">Peter Longerich</t>
  </si>
  <si>
    <t xml:space="preserve">B HIM lon</t>
  </si>
  <si>
    <t xml:space="preserve">Ubik </t>
  </si>
  <si>
    <t xml:space="preserve">N DIC ubi</t>
  </si>
  <si>
    <t xml:space="preserve">Me casé con un comunista </t>
  </si>
  <si>
    <t xml:space="preserve">Philip Roth</t>
  </si>
  <si>
    <t xml:space="preserve">N ROT mec</t>
  </si>
  <si>
    <t xml:space="preserve">Philip Warner</t>
  </si>
  <si>
    <t xml:space="preserve">355 WAR ala </t>
  </si>
  <si>
    <t xml:space="preserve">Por qué no podemos ser cristianos : (y menos aún católicos)</t>
  </si>
  <si>
    <t xml:space="preserve">Piergiorgio Odifreddi</t>
  </si>
  <si>
    <t xml:space="preserve">27-28 ODI por </t>
  </si>
  <si>
    <t xml:space="preserve">El planeta de los simios</t>
  </si>
  <si>
    <t xml:space="preserve">Pierre Boulle</t>
  </si>
  <si>
    <t xml:space="preserve">N BOU pla </t>
  </si>
  <si>
    <t xml:space="preserve">El geco</t>
  </si>
  <si>
    <t xml:space="preserve">Rafael Sánchez Ferlosio</t>
  </si>
  <si>
    <t xml:space="preserve">N SAN gec</t>
  </si>
  <si>
    <t xml:space="preserve">Mr. Witt en el Cantón </t>
  </si>
  <si>
    <t xml:space="preserve">Ramón J. Sender</t>
  </si>
  <si>
    <t xml:space="preserve">N SEN mrw</t>
  </si>
  <si>
    <t xml:space="preserve">España, de la Restauración a la democracia : 1875-1980</t>
  </si>
  <si>
    <t xml:space="preserve">Raymond Carr</t>
  </si>
  <si>
    <t xml:space="preserve">946 CAR esp </t>
  </si>
  <si>
    <t xml:space="preserve">De qué hablamos cuando hablamos de amor</t>
  </si>
  <si>
    <t xml:space="preserve">Raymond Carver</t>
  </si>
  <si>
    <t xml:space="preserve">N CAR deq </t>
  </si>
  <si>
    <t xml:space="preserve">Short Cuts = Vidas cruzadas</t>
  </si>
  <si>
    <t xml:space="preserve">N CAR sho </t>
  </si>
  <si>
    <t xml:space="preserve">Blandir la espada : historia de los gladiadores, mosqueteros, samurai, espadachines y campeones olímpicos</t>
  </si>
  <si>
    <t xml:space="preserve">Richard Cohen</t>
  </si>
  <si>
    <t xml:space="preserve">796 COH bla </t>
  </si>
  <si>
    <t xml:space="preserve">The blind watchmaker </t>
  </si>
  <si>
    <t xml:space="preserve">575 DAW rel</t>
  </si>
  <si>
    <t xml:space="preserve">¿Está Vd. de broma, Sr. Feyman?</t>
  </si>
  <si>
    <t xml:space="preserve">Richard P. Feynman</t>
  </si>
  <si>
    <t xml:space="preserve">N FEY est</t>
  </si>
  <si>
    <t xml:space="preserve">Rarología : la curiosa ciencia de la vida cotidiana</t>
  </si>
  <si>
    <t xml:space="preserve">Richard Wiseman</t>
  </si>
  <si>
    <t xml:space="preserve">088 WIS rar </t>
  </si>
  <si>
    <t xml:space="preserve">El fantasista</t>
  </si>
  <si>
    <t xml:space="preserve">Rivera Letelier</t>
  </si>
  <si>
    <t xml:space="preserve">N RIV fan </t>
  </si>
  <si>
    <t xml:space="preserve">Soldado de la CIA</t>
  </si>
  <si>
    <t xml:space="preserve">Robert Baer </t>
  </si>
  <si>
    <t xml:space="preserve">327 BAE sol </t>
  </si>
  <si>
    <t xml:space="preserve">La luna es una cruel amante</t>
  </si>
  <si>
    <t xml:space="preserve">Robert Heinlein</t>
  </si>
  <si>
    <t xml:space="preserve">N HEI lun</t>
  </si>
  <si>
    <t xml:space="preserve">Recuerdos del futuro</t>
  </si>
  <si>
    <t xml:space="preserve">Robert J. Sawyer</t>
  </si>
  <si>
    <t xml:space="preserve">N SAW rec </t>
  </si>
  <si>
    <t xml:space="preserve">El arte de escribir</t>
  </si>
  <si>
    <t xml:space="preserve">Robert Louis Stevenson</t>
  </si>
  <si>
    <t xml:space="preserve">82 STE art </t>
  </si>
  <si>
    <t xml:space="preserve">Muero por dentro</t>
  </si>
  <si>
    <t xml:space="preserve">N SIL mue</t>
  </si>
  <si>
    <t xml:space="preserve">El gaucho insufrible</t>
  </si>
  <si>
    <t xml:space="preserve">N BOL gau </t>
  </si>
  <si>
    <t xml:space="preserve">La literatura nazi en América</t>
  </si>
  <si>
    <t xml:space="preserve">N BOL lit</t>
  </si>
  <si>
    <t xml:space="preserve">La mayor necesidad </t>
  </si>
  <si>
    <t xml:space="preserve">Rose George </t>
  </si>
  <si>
    <t xml:space="preserve">El hombre que quiso ser rey; Al final del camino </t>
  </si>
  <si>
    <t xml:space="preserve">N KIP hom</t>
  </si>
  <si>
    <t xml:space="preserve">Los huesos de Descartes</t>
  </si>
  <si>
    <t xml:space="preserve">Russell Shorto</t>
  </si>
  <si>
    <t xml:space="preserve">N SHO hue </t>
  </si>
  <si>
    <t xml:space="preserve">El crisantemo y la espada</t>
  </si>
  <si>
    <t xml:space="preserve">Ruth Benedict</t>
  </si>
  <si>
    <t xml:space="preserve">39 BEN cri </t>
  </si>
  <si>
    <t xml:space="preserve">Antropologia</t>
  </si>
  <si>
    <t xml:space="preserve">Ébano</t>
  </si>
  <si>
    <t xml:space="preserve">Ryszard Kapuscinski</t>
  </si>
  <si>
    <t xml:space="preserve">96 KAP eba</t>
  </si>
  <si>
    <t xml:space="preserve">Los cínicos no sirven para este oficio: sobre el buen periodismo</t>
  </si>
  <si>
    <t xml:space="preserve">070 KAP cin</t>
  </si>
  <si>
    <t xml:space="preserve">Hijos de la medianoche</t>
  </si>
  <si>
    <t xml:space="preserve">Salman Rushdie</t>
  </si>
  <si>
    <t xml:space="preserve">N RUS hij</t>
  </si>
  <si>
    <t xml:space="preserve">Firmin : aventuras de una alimaña urbana</t>
  </si>
  <si>
    <t xml:space="preserve">Sam Savage</t>
  </si>
  <si>
    <t xml:space="preserve">N SAV fir</t>
  </si>
  <si>
    <t xml:space="preserve">El último encuentro</t>
  </si>
  <si>
    <t xml:space="preserve">Sándor Márai</t>
  </si>
  <si>
    <t xml:space="preserve">N MAR ult</t>
  </si>
  <si>
    <t xml:space="preserve">Los impostores</t>
  </si>
  <si>
    <t xml:space="preserve">Santiago Gamboa</t>
  </si>
  <si>
    <t xml:space="preserve">N GAM imp </t>
  </si>
  <si>
    <t xml:space="preserve">Impostores </t>
  </si>
  <si>
    <t xml:space="preserve">Sarah Burton</t>
  </si>
  <si>
    <t xml:space="preserve">N BUR imp</t>
  </si>
  <si>
    <t xml:space="preserve">Sobre Sebastián el rey de Portugal: http://exapamicron.wordpress.com/2008/11/13/sebastianismo/</t>
  </si>
  <si>
    <t xml:space="preserve">Falsa identidad</t>
  </si>
  <si>
    <t xml:space="preserve">Sarah Waters</t>
  </si>
  <si>
    <t xml:space="preserve">N WAT fal  </t>
  </si>
  <si>
    <t xml:space="preserve">Winesburg, Ohio</t>
  </si>
  <si>
    <t xml:space="preserve">Sherwood Anderson</t>
  </si>
  <si>
    <t xml:space="preserve">N AND win </t>
  </si>
  <si>
    <t xml:space="preserve">Las Traquinias</t>
  </si>
  <si>
    <t xml:space="preserve">Sófocles</t>
  </si>
  <si>
    <t xml:space="preserve">T SOF tra </t>
  </si>
  <si>
    <t xml:space="preserve">Botchan</t>
  </si>
  <si>
    <t xml:space="preserve">Soseki Natsume</t>
  </si>
  <si>
    <t xml:space="preserve">N NAT bot </t>
  </si>
  <si>
    <t xml:space="preserve">Diario de las Estrellas</t>
  </si>
  <si>
    <t xml:space="preserve">N LEM dia 1</t>
  </si>
  <si>
    <t xml:space="preserve">Led Zeppelin : el martillo de los dioses</t>
  </si>
  <si>
    <t xml:space="preserve">Stephen Davis</t>
  </si>
  <si>
    <t xml:space="preserve">785 LED dav </t>
  </si>
  <si>
    <t xml:space="preserve">Dientes de gallina y dedos de caballo:reflexiones sobre historia natural</t>
  </si>
  <si>
    <t xml:space="preserve">575 GOU die</t>
  </si>
  <si>
    <t xml:space="preserve">El pulgar del panda: ensayos sobre evolución </t>
  </si>
  <si>
    <t xml:space="preserve">575 GOU pul</t>
  </si>
  <si>
    <t xml:space="preserve">La tabla rasa</t>
  </si>
  <si>
    <t xml:space="preserve">Steven Pinker</t>
  </si>
  <si>
    <t xml:space="preserve">159 PIN tab </t>
  </si>
  <si>
    <t xml:space="preserve">Roma</t>
  </si>
  <si>
    <t xml:space="preserve">Steven Saylor</t>
  </si>
  <si>
    <t xml:space="preserve">N SAY ROM </t>
  </si>
  <si>
    <t xml:space="preserve">De cómo los irlandeses salvaron la civilización</t>
  </si>
  <si>
    <t xml:space="preserve">Thomas Cahill</t>
  </si>
  <si>
    <t xml:space="preserve">930.8 CAH dec </t>
  </si>
  <si>
    <t xml:space="preserve">La subasta del lote 49</t>
  </si>
  <si>
    <t xml:space="preserve">Thomas Pynchon</t>
  </si>
  <si>
    <t xml:space="preserve">N PYN sub </t>
  </si>
  <si>
    <t xml:space="preserve">Las puertas de Anubis </t>
  </si>
  <si>
    <t xml:space="preserve">Tim Powers</t>
  </si>
  <si>
    <t xml:space="preserve">N POW pue</t>
  </si>
  <si>
    <t xml:space="preserve">Legado de cenizas : la historia de la CIA</t>
  </si>
  <si>
    <t xml:space="preserve">Tim Weiner</t>
  </si>
  <si>
    <t xml:space="preserve">327 WEI leg </t>
  </si>
  <si>
    <t xml:space="preserve">Vida de este chico</t>
  </si>
  <si>
    <t xml:space="preserve">Tobias Wolff</t>
  </si>
  <si>
    <t xml:space="preserve">N WOL vid </t>
  </si>
  <si>
    <t xml:space="preserve">Wilt</t>
  </si>
  <si>
    <t xml:space="preserve">Tom Sharpe </t>
  </si>
  <si>
    <t xml:space="preserve">N SHA wil </t>
  </si>
  <si>
    <t xml:space="preserve">Purgatorio</t>
  </si>
  <si>
    <t xml:space="preserve">Tomás Eloy Martinez</t>
  </si>
  <si>
    <t xml:space="preserve">N MAR pur </t>
  </si>
  <si>
    <t xml:space="preserve">El libro negro de las leyendas urbanas</t>
  </si>
  <si>
    <t xml:space="preserve">Tomás Hijo</t>
  </si>
  <si>
    <t xml:space="preserve">088 HIJ lib </t>
  </si>
  <si>
    <t xml:space="preserve">El arpa de hierba</t>
  </si>
  <si>
    <t xml:space="preserve">Truman Capote</t>
  </si>
  <si>
    <t xml:space="preserve">N CAP arp</t>
  </si>
  <si>
    <t xml:space="preserve">El pelo de Van't Hoff</t>
  </si>
  <si>
    <t xml:space="preserve">Unai Elorriaga</t>
  </si>
  <si>
    <t xml:space="preserve">N ELO pel</t>
  </si>
  <si>
    <t xml:space="preserve">Un tranvía en SP</t>
  </si>
  <si>
    <t xml:space="preserve">N ELO tra</t>
  </si>
  <si>
    <t xml:space="preserve">La creación de lo sagrado</t>
  </si>
  <si>
    <t xml:space="preserve">Walter Burkert</t>
  </si>
  <si>
    <t xml:space="preserve">Jungvolk</t>
  </si>
  <si>
    <t xml:space="preserve">Wilhelm R. Gehlen</t>
  </si>
  <si>
    <t xml:space="preserve">B GEH jun </t>
  </si>
  <si>
    <t xml:space="preserve">La batalla de Stalingrado</t>
  </si>
  <si>
    <t xml:space="preserve">William Craig</t>
  </si>
  <si>
    <t xml:space="preserve">94 CRA bat </t>
  </si>
  <si>
    <t xml:space="preserve">Vinieron como golondrinas</t>
  </si>
  <si>
    <t xml:space="preserve">William Maxwell</t>
  </si>
  <si>
    <t xml:space="preserve">N MAX vin </t>
  </si>
  <si>
    <t xml:space="preserve">Cosa de risa</t>
  </si>
  <si>
    <t xml:space="preserve">William Saroyan</t>
  </si>
  <si>
    <t xml:space="preserve">N SAR cos </t>
  </si>
  <si>
    <t xml:space="preserve">El mercader de Venecia</t>
  </si>
  <si>
    <t xml:space="preserve">T SHA mer </t>
  </si>
  <si>
    <t xml:space="preserve">Pura anarquía </t>
  </si>
  <si>
    <t xml:space="preserve">Woody Allen</t>
  </si>
  <si>
    <t xml:space="preserve">N ALL pur</t>
  </si>
  <si>
    <t xml:space="preserve">La isla secreta : un recorrido por Islandia</t>
  </si>
  <si>
    <t xml:space="preserve">Xavier Moret</t>
  </si>
  <si>
    <t xml:space="preserve">N MOR isl</t>
  </si>
  <si>
    <t xml:space="preserve">Lo bello y lo triste</t>
  </si>
  <si>
    <t xml:space="preserve">Yasunari Kawabata</t>
  </si>
  <si>
    <t xml:space="preserve">N KAW bel </t>
  </si>
  <si>
    <t xml:space="preserve">Envidia</t>
  </si>
  <si>
    <t xml:space="preserve">Yuri Olesha</t>
  </si>
  <si>
    <t xml:space="preserve">N OLE env </t>
  </si>
  <si>
    <t xml:space="preserve">Un imperio fallido</t>
  </si>
  <si>
    <t xml:space="preserve">Zubok</t>
  </si>
  <si>
    <t xml:space="preserve">947 ZUB imp </t>
  </si>
  <si>
    <t xml:space="preserve">Placeres sencillos </t>
  </si>
  <si>
    <t xml:space="preserve">Jane Bowles </t>
  </si>
  <si>
    <t xml:space="preserve">El bosque de la noche </t>
  </si>
  <si>
    <t xml:space="preserve">Djuna Barnes</t>
  </si>
  <si>
    <t xml:space="preserve">Pasiones, piojos, dioses…y matemáticas</t>
  </si>
  <si>
    <t xml:space="preserve">Antonio J. Durán</t>
  </si>
  <si>
    <t xml:space="preserve">El fuego </t>
  </si>
  <si>
    <t xml:space="preserve">Katherine Neville </t>
  </si>
  <si>
    <t xml:space="preserve">The God Delusion </t>
  </si>
  <si>
    <t xml:space="preserve">Richard Dawkins </t>
  </si>
  <si>
    <t xml:space="preserve">El principito</t>
  </si>
  <si>
    <t xml:space="preserve">Antoine de Saint-Exupéry</t>
  </si>
  <si>
    <t xml:space="preserve">Un hombre sin patria</t>
  </si>
  <si>
    <t xml:space="preserve">Qué nos hace humanos</t>
  </si>
  <si>
    <t xml:space="preserve">Michael Gazzaniga</t>
  </si>
  <si>
    <t xml:space="preserve">Algo va mal</t>
  </si>
  <si>
    <t xml:space="preserve">Sukkwan Island</t>
  </si>
  <si>
    <t xml:space="preserve">David Vann</t>
  </si>
  <si>
    <t xml:space="preserve">El descubrimiento del espíritu</t>
  </si>
  <si>
    <t xml:space="preserve">Bruno Snell</t>
  </si>
  <si>
    <t xml:space="preserve">CAOS, la creación de una ciencia</t>
  </si>
  <si>
    <t xml:space="preserve">James Gleick</t>
  </si>
  <si>
    <t xml:space="preserve">Manhattan transfer</t>
  </si>
  <si>
    <t xml:space="preserve">John Dos Passos </t>
  </si>
  <si>
    <t xml:space="preserve">N DOS man </t>
  </si>
  <si>
    <t xml:space="preserve">Todo lo que tengo lo llevo conmigo</t>
  </si>
  <si>
    <t xml:space="preserve">Herta Müller</t>
  </si>
  <si>
    <t xml:space="preserve">Las grandes plagas modernas</t>
  </si>
  <si>
    <t xml:space="preserve">Salvador Macip</t>
  </si>
  <si>
    <t xml:space="preserve">Amor malo y feroz</t>
  </si>
  <si>
    <t xml:space="preserve">Larry Brown</t>
  </si>
  <si>
    <t xml:space="preserve">Qué nos come por dentro?</t>
  </si>
  <si>
    <t xml:space="preserve">Eugene H. Kaplan</t>
  </si>
  <si>
    <t xml:space="preserve">Sed de Sangre</t>
  </si>
  <si>
    <t xml:space="preserve">Joanna Bourke</t>
  </si>
  <si>
    <t xml:space="preserve">Aventuras y desventuras del Chico Centella</t>
  </si>
  <si>
    <t xml:space="preserve">La estructura de las revoluciones cientificas</t>
  </si>
  <si>
    <t xml:space="preserve">Thomas Kuhn</t>
  </si>
  <si>
    <t xml:space="preserve">Devoradores de cadáveres </t>
  </si>
  <si>
    <t xml:space="preserve">Michael Crichton </t>
  </si>
  <si>
    <t xml:space="preserve">N CRI dev</t>
  </si>
  <si>
    <t xml:space="preserve">Un Tiempo para Bailar, un Tiempo para Morir: La Historia Extraordinaria de la Plaga del Baile de 1518</t>
  </si>
  <si>
    <t xml:space="preserve">John Waller</t>
  </si>
  <si>
    <t xml:space="preserve">La Alhambra hermética</t>
  </si>
  <si>
    <t xml:space="preserve">Antonio Enrique</t>
  </si>
  <si>
    <t xml:space="preserve">En el corazón del mar</t>
  </si>
  <si>
    <t xml:space="preserve">Nathaniel Philbrick</t>
  </si>
  <si>
    <t xml:space="preserve">Otras</t>
  </si>
  <si>
    <t xml:space="preserve">La historia del mundo en seis tragos : de la cerveza de los faraones a la Coca-Cola</t>
  </si>
  <si>
    <t xml:space="preserve">Diccionario del crimen</t>
  </si>
  <si>
    <t xml:space="preserve">Oliver Cyriax</t>
  </si>
  <si>
    <t xml:space="preserve">Polvo en marcha</t>
  </si>
  <si>
    <t xml:space="preserve">Rusty Young / Thomas McFadden</t>
  </si>
  <si>
    <t xml:space="preserve">El encuentro </t>
  </si>
  <si>
    <t xml:space="preserve">N POH sag 3</t>
  </si>
  <si>
    <t xml:space="preserve">Conversaciones con Billy Wilder</t>
  </si>
  <si>
    <t xml:space="preserve">Cameron Crowe</t>
  </si>
  <si>
    <t xml:space="preserve">791 WIL cro</t>
  </si>
  <si>
    <t xml:space="preserve">Asesinatos S.L. </t>
  </si>
  <si>
    <t xml:space="preserve">Jack London</t>
  </si>
  <si>
    <t xml:space="preserve">N LON ase</t>
  </si>
  <si>
    <t xml:space="preserve">Historia de los grandes burdeles del mundo</t>
  </si>
  <si>
    <t xml:space="preserve">Emmett Murphy</t>
  </si>
  <si>
    <t xml:space="preserve">392 MUR his </t>
  </si>
  <si>
    <t xml:space="preserve">Biblioteca Central</t>
  </si>
  <si>
    <t xml:space="preserve">La Máquina Génesis</t>
  </si>
  <si>
    <t xml:space="preserve">James P. Hogan</t>
  </si>
  <si>
    <t xml:space="preserve">09/21606</t>
  </si>
  <si>
    <t xml:space="preserve">Biblioteca Regional de Madrid Joaquín Leguina </t>
  </si>
  <si>
    <t xml:space="preserve">La puta de Babilonia</t>
  </si>
  <si>
    <t xml:space="preserve">No está</t>
  </si>
  <si>
    <t xml:space="preserve">Sex code : El manual práctico de los maestros de la seducción</t>
  </si>
  <si>
    <t xml:space="preserve">Mario Luna</t>
  </si>
  <si>
    <t xml:space="preserve">159 LUN sex 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</si>
</sst>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#,##0.00"/>
    <numFmt numFmtId="167" formatCode="General"/>
    <numFmt numFmtId="168" formatCode="0"/>
    <numFmt numFmtId="169" formatCode="0.00"/>
    <numFmt numFmtId="170" formatCode="@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0"/>
      <name val="Arial"/>
      <family val="2"/>
    </font>
    <font>
      <u val="single"/>
      <sz val="10"/>
      <name val="Arial"/>
      <family val="2"/>
    </font>
    <font>
      <b val="true"/>
      <sz val="10"/>
      <name val="Arial"/>
      <family val="2"/>
    </font>
    <font>
      <sz val="10"/>
      <color rgb="FF0000D4"/>
      <name val="Arial"/>
      <family val="2"/>
    </font>
    <font>
      <sz val="10"/>
      <color rgb="FF000000"/>
      <name val="Calibri"/>
      <family val="2"/>
    </font>
    <font>
      <sz val="9"/>
      <color rgb="FF333333"/>
      <name val="Calibri"/>
      <family val="2"/>
    </font>
    <font>
      <sz val="12"/>
      <color rgb="FF333333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  <fill>
      <patternFill patternType="solid">
        <fgColor rgb="FFFF9900"/>
        <bgColor rgb="FFFFCC00"/>
      </patternFill>
    </fill>
    <fill>
      <patternFill patternType="solid">
        <fgColor rgb="FF99CC00"/>
        <bgColor rgb="FFFFCC00"/>
      </patternFill>
    </fill>
    <fill>
      <patternFill patternType="solid">
        <fgColor rgb="FF808080"/>
        <bgColor rgb="FF969696"/>
      </patternFill>
    </fill>
    <fill>
      <patternFill patternType="solid">
        <fgColor rgb="FFDD0806"/>
        <bgColor rgb="FF993300"/>
      </patternFill>
    </fill>
    <fill>
      <patternFill patternType="solid">
        <fgColor rgb="FF1FB714"/>
        <bgColor rgb="FF339966"/>
      </patternFill>
    </fill>
    <fill>
      <patternFill patternType="solid">
        <fgColor rgb="FF339966"/>
        <bgColor rgb="FF00808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true" applyAlignment="false" applyProtection="true">
      <protection locked="true" hidden="false"/>
    </xf>
    <xf numFmtId="164" fontId="0" fillId="3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4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5" fontId="4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6" fillId="4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5" fontId="6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6" fillId="4" borderId="2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5" fontId="6" fillId="4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6" fillId="4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4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2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Leido" xfId="20"/>
    <cellStyle name="Pendiente" xfId="21"/>
  </cellStyles>
  <dxfs count="33">
    <dxf>
      <font>
        <name val="Arial"/>
        <family val="2"/>
        <color rgb="FF000000"/>
      </font>
      <fill>
        <patternFill>
          <bgColor rgb="FFFFCC99"/>
        </patternFill>
      </fill>
    </dxf>
    <dxf>
      <font>
        <name val="Arial"/>
        <family val="2"/>
        <color rgb="FF000000"/>
      </font>
      <fill>
        <patternFill>
          <bgColor rgb="FF99CC00"/>
        </patternFill>
      </fill>
    </dxf>
    <dxf>
      <font>
        <name val="Arial"/>
        <family val="2"/>
        <color rgb="FF000000"/>
      </font>
      <fill>
        <patternFill>
          <bgColor rgb="FFFFCC99"/>
        </patternFill>
      </fill>
    </dxf>
    <dxf>
      <font>
        <name val="Arial"/>
        <family val="2"/>
        <color rgb="FF000000"/>
      </font>
      <fill>
        <patternFill>
          <bgColor rgb="FF99CC00"/>
        </patternFill>
      </fill>
    </dxf>
    <dxf>
      <font>
        <name val="Arial"/>
        <family val="2"/>
        <color rgb="FF000000"/>
      </font>
      <fill>
        <patternFill>
          <bgColor rgb="FFFFCC99"/>
        </patternFill>
      </fill>
    </dxf>
    <dxf>
      <font>
        <name val="Arial"/>
        <family val="2"/>
        <color rgb="FF000000"/>
      </font>
      <fill>
        <patternFill>
          <bgColor rgb="FF99CC00"/>
        </patternFill>
      </fill>
    </dxf>
    <dxf>
      <font>
        <name val="Arial"/>
        <family val="2"/>
        <color rgb="FF000000"/>
      </font>
      <fill>
        <patternFill>
          <bgColor rgb="FFFFCC99"/>
        </patternFill>
      </fill>
    </dxf>
    <dxf>
      <font>
        <name val="Arial"/>
        <family val="2"/>
        <color rgb="FF000000"/>
      </font>
      <fill>
        <patternFill>
          <bgColor rgb="FF99CC00"/>
        </patternFill>
      </fill>
    </dxf>
    <dxf>
      <font>
        <name val="Arial"/>
        <family val="2"/>
        <color rgb="FF000000"/>
      </font>
      <fill>
        <patternFill>
          <bgColor rgb="FFFFCC99"/>
        </patternFill>
      </fill>
    </dxf>
    <dxf>
      <font>
        <name val="Arial"/>
        <family val="2"/>
        <color rgb="FF000000"/>
      </font>
      <fill>
        <patternFill>
          <bgColor rgb="FF99CC00"/>
        </patternFill>
      </fill>
    </dxf>
    <dxf>
      <font>
        <name val="Arial"/>
        <family val="2"/>
        <color rgb="FF000000"/>
      </font>
      <fill>
        <patternFill>
          <bgColor rgb="FFDD0806"/>
        </patternFill>
      </fill>
    </dxf>
    <dxf>
      <font>
        <name val="Arial"/>
        <family val="2"/>
        <color rgb="FF000000"/>
      </font>
      <fill>
        <patternFill>
          <bgColor rgb="FFDD0806"/>
        </patternFill>
      </fill>
    </dxf>
    <dxf>
      <font>
        <name val="Arial"/>
        <family val="2"/>
        <color rgb="FF000000"/>
      </font>
      <fill>
        <patternFill>
          <bgColor rgb="FFDD0806"/>
        </patternFill>
      </fill>
    </dxf>
    <dxf>
      <font>
        <name val="Arial"/>
        <family val="2"/>
        <color rgb="FF000000"/>
      </font>
      <fill>
        <patternFill>
          <bgColor rgb="FFDD0806"/>
        </patternFill>
      </fill>
    </dxf>
    <dxf>
      <font>
        <name val="Arial"/>
        <family val="2"/>
        <color rgb="FF000000"/>
      </font>
      <fill>
        <patternFill>
          <bgColor rgb="FFDD0806"/>
        </patternFill>
      </fill>
    </dxf>
    <dxf>
      <font>
        <name val="Arial"/>
        <family val="2"/>
        <color rgb="FF000000"/>
      </font>
      <fill>
        <patternFill>
          <bgColor rgb="FFDD0806"/>
        </patternFill>
      </fill>
    </dxf>
    <dxf>
      <font>
        <name val="Arial"/>
        <family val="2"/>
        <color rgb="FF000000"/>
      </font>
      <fill>
        <patternFill>
          <bgColor rgb="FFDD0806"/>
        </patternFill>
      </fill>
    </dxf>
    <dxf>
      <font>
        <name val="Arial"/>
        <family val="2"/>
        <color rgb="FF000000"/>
      </font>
      <fill>
        <patternFill>
          <bgColor rgb="FFDD0806"/>
        </patternFill>
      </fill>
    </dxf>
    <dxf>
      <font>
        <name val="Arial"/>
        <family val="2"/>
        <color rgb="FF000000"/>
      </font>
      <fill>
        <patternFill>
          <bgColor rgb="FFDD0806"/>
        </patternFill>
      </fill>
    </dxf>
    <dxf>
      <font>
        <name val="Arial"/>
        <family val="2"/>
        <color rgb="FF000000"/>
      </font>
      <fill>
        <patternFill>
          <bgColor rgb="FFDD0806"/>
        </patternFill>
      </fill>
    </dxf>
    <dxf>
      <font>
        <name val="Arial"/>
        <family val="2"/>
        <color rgb="FF000000"/>
      </font>
      <fill>
        <patternFill>
          <bgColor rgb="FFDD0806"/>
        </patternFill>
      </fill>
    </dxf>
    <dxf>
      <font>
        <name val="Arial"/>
        <family val="2"/>
        <color rgb="FF000000"/>
      </font>
      <fill>
        <patternFill>
          <bgColor rgb="FFDD0806"/>
        </patternFill>
      </fill>
    </dxf>
    <dxf>
      <font>
        <name val="Arial"/>
        <family val="2"/>
        <color rgb="FF000000"/>
      </font>
      <fill>
        <patternFill>
          <bgColor rgb="FFDD0806"/>
        </patternFill>
      </fill>
    </dxf>
    <dxf>
      <font>
        <name val="Arial"/>
        <family val="2"/>
        <color rgb="FF000000"/>
      </font>
      <fill>
        <patternFill>
          <bgColor rgb="FF99CC00"/>
        </patternFill>
      </fill>
    </dxf>
    <dxf>
      <font>
        <name val="Arial"/>
        <family val="2"/>
        <color rgb="FF000000"/>
      </font>
      <fill>
        <patternFill>
          <bgColor rgb="FF99CC00"/>
        </patternFill>
      </fill>
    </dxf>
    <dxf>
      <font>
        <name val="Arial"/>
        <family val="2"/>
        <color rgb="FF000000"/>
      </font>
      <fill>
        <patternFill>
          <bgColor rgb="FFDD0806"/>
        </patternFill>
      </fill>
    </dxf>
    <dxf>
      <font>
        <name val="Arial"/>
        <family val="2"/>
        <color rgb="FF000000"/>
      </font>
      <fill>
        <patternFill>
          <bgColor rgb="FF99CC00"/>
        </patternFill>
      </fill>
    </dxf>
    <dxf>
      <font>
        <name val="Arial"/>
        <family val="2"/>
        <color rgb="FF000000"/>
      </font>
      <fill>
        <patternFill>
          <bgColor rgb="FF99CC00"/>
        </patternFill>
      </fill>
    </dxf>
    <dxf>
      <fill>
        <patternFill patternType="solid">
          <fgColor rgb="FF1FB714"/>
          <bgColor rgb="FF000000"/>
        </patternFill>
      </fill>
    </dxf>
    <dxf>
      <fill>
        <patternFill patternType="solid">
          <fgColor rgb="FF339966"/>
          <bgColor rgb="FF000000"/>
        </patternFill>
      </fill>
    </dxf>
    <dxf>
      <fill>
        <patternFill patternType="solid">
          <fgColor rgb="FF99CC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D4"/>
          <bgColor rgb="FF000000"/>
        </patternFill>
      </fill>
    </dxf>
  </dxfs>
  <colors>
    <indexedColors>
      <rgbColor rgb="FF000000"/>
      <rgbColor rgb="FFFFFFFF"/>
      <rgbColor rgb="FFDD0806"/>
      <rgbColor rgb="FF00FF00"/>
      <rgbColor rgb="FF0000D4"/>
      <rgbColor rgb="FFFFFF00"/>
      <rgbColor rgb="FFFF00FF"/>
      <rgbColor rgb="FF00FFFF"/>
      <rgbColor rgb="FF800000"/>
      <rgbColor rgb="FF1FB71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xMode val="edge"/>
          <c:yMode val="edge"/>
          <c:x val="0.235252055774044"/>
          <c:y val="0.38699780861943"/>
          <c:w val="0.663270170420689"/>
          <c:h val="0.592257121986852"/>
        </c:manualLayout>
      </c:layout>
      <c:lineChart>
        <c:grouping val="standard"/>
        <c:varyColors val="0"/>
        <c:ser>
          <c:idx val="0"/>
          <c:order val="0"/>
          <c:tx>
            <c:strRef>
              <c:f>Gráficos!$C$34</c:f>
              <c:strCache>
                <c:ptCount val="1"/>
                <c:pt idx="0">
                  <c:v>Libros</c:v>
                </c:pt>
              </c:strCache>
            </c:strRef>
          </c:tx>
          <c:spPr>
            <a:solidFill>
              <a:srgbClr val="993366"/>
            </a:solidFill>
            <a:ln w="25200">
              <a:solidFill>
                <a:srgbClr val="99336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Gráficos!$B$35:$B$51</c:f>
              <c:strCach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</c:strCache>
            </c:strRef>
          </c:cat>
          <c:val>
            <c:numRef>
              <c:f>Gráficos!$C$35:$C$51</c:f>
              <c:numCache>
                <c:formatCode>General</c:formatCode>
                <c:ptCount val="17"/>
                <c:pt idx="0">
                  <c:v>56</c:v>
                </c:pt>
                <c:pt idx="1">
                  <c:v>48</c:v>
                </c:pt>
                <c:pt idx="2">
                  <c:v>52</c:v>
                </c:pt>
                <c:pt idx="3">
                  <c:v>27</c:v>
                </c:pt>
                <c:pt idx="4">
                  <c:v>12</c:v>
                </c:pt>
                <c:pt idx="5">
                  <c:v>27</c:v>
                </c:pt>
                <c:pt idx="6">
                  <c:v>35</c:v>
                </c:pt>
                <c:pt idx="7">
                  <c:v>26</c:v>
                </c:pt>
                <c:pt idx="8">
                  <c:v>29</c:v>
                </c:pt>
                <c:pt idx="9">
                  <c:v>22</c:v>
                </c:pt>
                <c:pt idx="10">
                  <c:v>40</c:v>
                </c:pt>
                <c:pt idx="11">
                  <c:v>24</c:v>
                </c:pt>
                <c:pt idx="12">
                  <c:v>35</c:v>
                </c:pt>
                <c:pt idx="13">
                  <c:v>47</c:v>
                </c:pt>
                <c:pt idx="14">
                  <c:v>58</c:v>
                </c:pt>
                <c:pt idx="15">
                  <c:v>56</c:v>
                </c:pt>
                <c:pt idx="16">
                  <c:v>32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6231386"/>
        <c:axId val="48786874"/>
      </c:lineChart>
      <c:barChart>
        <c:barDir val="col"/>
        <c:grouping val="clustered"/>
        <c:varyColors val="0"/>
        <c:ser>
          <c:idx val="1"/>
          <c:order val="1"/>
          <c:tx>
            <c:strRef>
              <c:f>Gráficos!$D$34</c:f>
              <c:strCache>
                <c:ptCount val="1"/>
                <c:pt idx="0">
                  <c:v>Páginas</c:v>
                </c:pt>
              </c:strCache>
            </c:strRef>
          </c:tx>
          <c:spPr>
            <a:solidFill>
              <a:srgbClr val="99cc00"/>
            </a:solidFill>
            <a:ln w="0">
              <a:solidFill>
                <a:srgbClr val="000000"/>
              </a:solidFill>
            </a:ln>
          </c:spPr>
          <c:invertIfNegative val="0"/>
          <c:dLbls>
            <c:numFmt formatCode="General" sourceLinked="1"/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
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2600">
                <a:solidFill>
                  <a:srgbClr val="99cc00"/>
                </a:solidFill>
                <a:round/>
              </a:ln>
            </c:spPr>
            <c:trendlineType val="linear"/>
            <c:forward val="0"/>
            <c:backward val="0"/>
            <c:dispRSqr val="0"/>
            <c:dispEq val="0"/>
          </c:trendline>
          <c:cat>
            <c:strRef>
              <c:f>Gráficos!$B$35:$B$51</c:f>
              <c:strCach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</c:strCache>
            </c:strRef>
          </c:cat>
          <c:val>
            <c:numRef>
              <c:f>Gráficos!$D$35:$D$51</c:f>
              <c:numCache>
                <c:formatCode>General</c:formatCode>
                <c:ptCount val="17"/>
                <c:pt idx="0">
                  <c:v>20051</c:v>
                </c:pt>
                <c:pt idx="1">
                  <c:v>18918</c:v>
                </c:pt>
                <c:pt idx="2">
                  <c:v>19868</c:v>
                </c:pt>
                <c:pt idx="3">
                  <c:v>17259</c:v>
                </c:pt>
                <c:pt idx="4">
                  <c:v>8907</c:v>
                </c:pt>
                <c:pt idx="5">
                  <c:v>11891</c:v>
                </c:pt>
                <c:pt idx="6">
                  <c:v>13222</c:v>
                </c:pt>
                <c:pt idx="7">
                  <c:v>12899</c:v>
                </c:pt>
                <c:pt idx="8">
                  <c:v>11755</c:v>
                </c:pt>
                <c:pt idx="9">
                  <c:v>10870</c:v>
                </c:pt>
                <c:pt idx="10">
                  <c:v>14579</c:v>
                </c:pt>
                <c:pt idx="11">
                  <c:v>7908</c:v>
                </c:pt>
                <c:pt idx="12">
                  <c:v>13862</c:v>
                </c:pt>
                <c:pt idx="13">
                  <c:v>17489</c:v>
                </c:pt>
                <c:pt idx="14">
                  <c:v>23457</c:v>
                </c:pt>
                <c:pt idx="15">
                  <c:v>22196</c:v>
                </c:pt>
                <c:pt idx="16">
                  <c:v>13163</c:v>
                </c:pt>
              </c:numCache>
            </c:numRef>
          </c:val>
        </c:ser>
        <c:gapWidth val="150"/>
        <c:overlap val="0"/>
        <c:axId val="27879301"/>
        <c:axId val="43058183"/>
      </c:barChart>
      <c:catAx>
        <c:axId val="1623138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Calibri"/>
                  </a:rPr>
                  <a:t>Años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c0c0c0"/>
            </a:solidFill>
          </a:ln>
        </c:spPr>
        <c:txPr>
          <a:bodyPr/>
          <a:lstStyle/>
          <a:p>
            <a:pPr>
              <a:defRPr b="0" sz="900" spc="-1" strike="noStrike">
                <a:solidFill>
                  <a:srgbClr val="333333"/>
                </a:solidFill>
                <a:latin typeface="Calibri"/>
              </a:defRPr>
            </a:pPr>
          </a:p>
        </c:txPr>
        <c:crossAx val="48786874"/>
        <c:crossesAt val="0"/>
        <c:auto val="1"/>
        <c:lblAlgn val="ctr"/>
        <c:lblOffset val="100"/>
        <c:noMultiLvlLbl val="0"/>
      </c:catAx>
      <c:catAx>
        <c:axId val="27879301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Calibri"/>
                  </a:rPr>
                  <a:t>Años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c0c0c0"/>
            </a:solidFill>
          </a:ln>
        </c:spPr>
        <c:txPr>
          <a:bodyPr/>
          <a:lstStyle/>
          <a:p>
            <a:pPr>
              <a:defRPr b="0" sz="900" spc="-1" strike="noStrike">
                <a:solidFill>
                  <a:srgbClr val="333333"/>
                </a:solidFill>
                <a:latin typeface="Calibri"/>
              </a:defRPr>
            </a:pPr>
          </a:p>
        </c:txPr>
        <c:crossAx val="43058183"/>
        <c:auto val="1"/>
        <c:lblAlgn val="ctr"/>
        <c:lblOffset val="100"/>
        <c:noMultiLvlLbl val="0"/>
      </c:catAx>
      <c:valAx>
        <c:axId val="48786874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0c0c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Calibri"/>
                  </a:rPr>
                  <a:t>Páginas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333333"/>
                </a:solidFill>
                <a:latin typeface="Calibri"/>
              </a:defRPr>
            </a:pPr>
          </a:p>
        </c:txPr>
        <c:crossAx val="16231386"/>
        <c:crossesAt val="1"/>
        <c:crossBetween val="midCat"/>
      </c:valAx>
      <c:valAx>
        <c:axId val="43058183"/>
        <c:scaling>
          <c:orientation val="minMax"/>
          <c:min val="0"/>
        </c:scaling>
        <c:delete val="1"/>
        <c:axPos val="l"/>
        <c:majorGridlines>
          <c:spPr>
            <a:ln w="0">
              <a:solidFill>
                <a:srgbClr val="c0c0c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Calibri"/>
                  </a:rPr>
                  <a:t>Páginas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333333"/>
                </a:solidFill>
                <a:latin typeface="Calibri"/>
              </a:defRPr>
            </a:pPr>
          </a:p>
        </c:txPr>
        <c:crossAx val="27879301"/>
        <c:crossBetween val="midCat"/>
      </c:valAx>
      <c:spPr>
        <a:noFill/>
        <a:ln w="12600">
          <a:noFill/>
        </a:ln>
      </c:spPr>
    </c:plotArea>
    <c:legend>
      <c:legendPos val="r"/>
      <c:layout>
        <c:manualLayout>
          <c:xMode val="edge"/>
          <c:yMode val="edge"/>
          <c:x val="0.287450840185914"/>
          <c:y val="0.270927684441198"/>
          <c:w val="0.638005005362889"/>
          <c:h val="0.22417823228634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333333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c0c0c0"/>
      </a:solidFill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0</xdr:colOff>
      <xdr:row>28</xdr:row>
      <xdr:rowOff>26280</xdr:rowOff>
    </xdr:from>
    <xdr:to>
      <xdr:col>17</xdr:col>
      <xdr:colOff>2399040</xdr:colOff>
      <xdr:row>28</xdr:row>
      <xdr:rowOff>88920</xdr:rowOff>
    </xdr:to>
    <xdr:pic>
      <xdr:nvPicPr>
        <xdr:cNvPr id="0" name="http://www.madrid.org/biblio_catalogos/imag/backward.gif" descr=""/>
        <xdr:cNvPicPr/>
      </xdr:nvPicPr>
      <xdr:blipFill>
        <a:blip r:embed="rId1"/>
        <a:stretch/>
      </xdr:blipFill>
      <xdr:spPr>
        <a:xfrm>
          <a:off x="36259200" y="5064840"/>
          <a:ext cx="2399040" cy="6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0</xdr:colOff>
      <xdr:row>28</xdr:row>
      <xdr:rowOff>26280</xdr:rowOff>
    </xdr:from>
    <xdr:to>
      <xdr:col>18</xdr:col>
      <xdr:colOff>2399400</xdr:colOff>
      <xdr:row>28</xdr:row>
      <xdr:rowOff>88920</xdr:rowOff>
    </xdr:to>
    <xdr:pic>
      <xdr:nvPicPr>
        <xdr:cNvPr id="1" name="http://www.madrid.org/biblio_catalogos/imag/forward.gif" descr=""/>
        <xdr:cNvPicPr/>
      </xdr:nvPicPr>
      <xdr:blipFill>
        <a:blip r:embed="rId2"/>
        <a:stretch/>
      </xdr:blipFill>
      <xdr:spPr>
        <a:xfrm>
          <a:off x="39183840" y="5064840"/>
          <a:ext cx="2399400" cy="62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19440</xdr:colOff>
      <xdr:row>0</xdr:row>
      <xdr:rowOff>0</xdr:rowOff>
    </xdr:from>
    <xdr:to>
      <xdr:col>16</xdr:col>
      <xdr:colOff>406800</xdr:colOff>
      <xdr:row>32</xdr:row>
      <xdr:rowOff>51120</xdr:rowOff>
    </xdr:to>
    <xdr:graphicFrame>
      <xdr:nvGraphicFramePr>
        <xdr:cNvPr id="2" name="Chart 1"/>
        <xdr:cNvGraphicFramePr/>
      </xdr:nvGraphicFramePr>
      <xdr:xfrm>
        <a:off x="19440" y="0"/>
        <a:ext cx="12082680" cy="4928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0</xdr:colOff>
      <xdr:row>37</xdr:row>
      <xdr:rowOff>0</xdr:rowOff>
    </xdr:from>
    <xdr:to>
      <xdr:col>16</xdr:col>
      <xdr:colOff>340920</xdr:colOff>
      <xdr:row>37</xdr:row>
      <xdr:rowOff>72720</xdr:rowOff>
    </xdr:to>
    <xdr:pic>
      <xdr:nvPicPr>
        <xdr:cNvPr id="3" name="http://www.madrid.org/biblio_catalogos/imag/backward.gif" descr=""/>
        <xdr:cNvPicPr/>
      </xdr:nvPicPr>
      <xdr:blipFill>
        <a:blip r:embed="rId1"/>
        <a:stretch/>
      </xdr:blipFill>
      <xdr:spPr>
        <a:xfrm>
          <a:off x="16206480" y="5648400"/>
          <a:ext cx="340920" cy="72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17</xdr:col>
      <xdr:colOff>0</xdr:colOff>
      <xdr:row>37</xdr:row>
      <xdr:rowOff>0</xdr:rowOff>
    </xdr:from>
    <xdr:to>
      <xdr:col>17</xdr:col>
      <xdr:colOff>340920</xdr:colOff>
      <xdr:row>37</xdr:row>
      <xdr:rowOff>72720</xdr:rowOff>
    </xdr:to>
    <xdr:pic>
      <xdr:nvPicPr>
        <xdr:cNvPr id="4" name="http://www.madrid.org/biblio_catalogos/imag/forward.gif" descr=""/>
        <xdr:cNvPicPr/>
      </xdr:nvPicPr>
      <xdr:blipFill>
        <a:blip r:embed="rId2"/>
        <a:stretch/>
      </xdr:blipFill>
      <xdr:spPr>
        <a:xfrm>
          <a:off x="16805160" y="5648400"/>
          <a:ext cx="340920" cy="72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I16" activeCellId="0" sqref="I16"/>
    </sheetView>
  </sheetViews>
  <sheetFormatPr defaultColWidth="8.5" defaultRowHeight="12" zeroHeight="false" outlineLevelRow="0" outlineLevelCol="0"/>
  <cols>
    <col collapsed="false" customWidth="true" hidden="false" outlineLevel="0" max="1" min="1" style="0" width="21.5"/>
    <col collapsed="false" customWidth="true" hidden="false" outlineLevel="0" max="2" min="2" style="0" width="15.5"/>
    <col collapsed="false" customWidth="true" hidden="false" outlineLevel="0" max="5" min="4" style="0" width="11.5"/>
    <col collapsed="false" customWidth="true" hidden="false" outlineLevel="0" max="7" min="7" style="0" width="6.5"/>
    <col collapsed="false" customWidth="true" hidden="false" outlineLevel="0" max="8" min="8" style="0" width="22.49"/>
  </cols>
  <sheetData>
    <row r="1" s="4" customFormat="true" ht="12.75" hidden="false" customHeight="tru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3" t="s">
        <v>7</v>
      </c>
    </row>
    <row r="2" s="6" customFormat="true" ht="12" hidden="false" customHeight="true" outlineLevel="0" collapsed="false">
      <c r="A2" s="5" t="s">
        <v>8</v>
      </c>
      <c r="B2" s="6" t="s">
        <v>9</v>
      </c>
      <c r="D2" s="7"/>
      <c r="E2" s="8"/>
      <c r="G2" s="6" t="s">
        <v>10</v>
      </c>
      <c r="H2" s="9" t="n">
        <v>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2" activeCellId="0" sqref="B2"/>
    </sheetView>
  </sheetViews>
  <sheetFormatPr defaultColWidth="8.5" defaultRowHeight="12" zeroHeight="false" outlineLevelRow="0" outlineLevelCol="0"/>
  <cols>
    <col collapsed="false" customWidth="true" hidden="false" outlineLevel="0" max="1" min="1" style="0" width="21.5"/>
    <col collapsed="false" customWidth="true" hidden="false" outlineLevel="0" max="2" min="2" style="0" width="15.5"/>
    <col collapsed="false" customWidth="true" hidden="false" outlineLevel="0" max="3" min="3" style="0" width="9.49"/>
    <col collapsed="false" customWidth="true" hidden="false" outlineLevel="0" max="5" min="4" style="0" width="11.5"/>
    <col collapsed="false" customWidth="true" hidden="false" outlineLevel="0" max="6" min="6" style="0" width="7.5"/>
    <col collapsed="false" customWidth="true" hidden="false" outlineLevel="0" max="7" min="7" style="0" width="6.5"/>
    <col collapsed="false" customWidth="true" hidden="false" outlineLevel="0" max="8" min="8" style="0" width="22.49"/>
  </cols>
  <sheetData>
    <row r="1" s="6" customFormat="true" ht="12.75" hidden="false" customHeight="true" outlineLevel="0" collapsed="false">
      <c r="A1" s="10" t="s">
        <v>0</v>
      </c>
      <c r="B1" s="10" t="s">
        <v>1</v>
      </c>
      <c r="C1" s="10" t="s">
        <v>2</v>
      </c>
      <c r="D1" s="11" t="s">
        <v>3</v>
      </c>
      <c r="E1" s="12" t="s">
        <v>4</v>
      </c>
      <c r="F1" s="11" t="s">
        <v>5</v>
      </c>
      <c r="G1" s="12" t="s">
        <v>6</v>
      </c>
      <c r="H1" s="12" t="s">
        <v>7</v>
      </c>
    </row>
    <row r="2" s="6" customFormat="true" ht="24" hidden="false" customHeight="true" outlineLevel="0" collapsed="false">
      <c r="A2" s="5" t="s">
        <v>11</v>
      </c>
      <c r="B2" s="6" t="s">
        <v>12</v>
      </c>
      <c r="C2" s="6" t="s">
        <v>13</v>
      </c>
      <c r="D2" s="7" t="n">
        <v>39813</v>
      </c>
      <c r="E2" s="8" t="n">
        <v>39813</v>
      </c>
      <c r="G2" s="6" t="s">
        <v>10</v>
      </c>
      <c r="H2" s="9" t="n">
        <v>8</v>
      </c>
    </row>
    <row r="3" s="6" customFormat="true" ht="12" hidden="false" customHeight="true" outlineLevel="0" collapsed="false">
      <c r="A3" s="5" t="s">
        <v>14</v>
      </c>
      <c r="B3" s="6" t="s">
        <v>15</v>
      </c>
      <c r="C3" s="6" t="s">
        <v>16</v>
      </c>
      <c r="D3" s="7" t="n">
        <v>39813</v>
      </c>
      <c r="E3" s="8" t="n">
        <v>39813</v>
      </c>
      <c r="G3" s="6" t="s">
        <v>10</v>
      </c>
      <c r="H3" s="9" t="n">
        <v>7</v>
      </c>
    </row>
    <row r="4" s="6" customFormat="true" ht="12" hidden="false" customHeight="true" outlineLevel="0" collapsed="false">
      <c r="A4" s="5" t="s">
        <v>17</v>
      </c>
      <c r="B4" s="6" t="s">
        <v>18</v>
      </c>
      <c r="C4" s="6" t="s">
        <v>19</v>
      </c>
      <c r="D4" s="7" t="n">
        <v>39813</v>
      </c>
      <c r="E4" s="8" t="n">
        <v>39813</v>
      </c>
      <c r="F4" s="6" t="s">
        <v>20</v>
      </c>
      <c r="G4" s="6" t="s">
        <v>10</v>
      </c>
      <c r="H4" s="9" t="n">
        <v>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V53"/>
  <sheetViews>
    <sheetView showFormulas="false" showGridLines="true" showRowColHeaders="true" showZeros="true" rightToLeft="false" tabSelected="false" showOutlineSymbols="true" defaultGridColor="true" view="normal" topLeftCell="A38" colorId="64" zoomScale="110" zoomScaleNormal="110" zoomScalePageLayoutView="100" workbookViewId="0">
      <selection pane="topLeft" activeCell="B10" activeCellId="0" sqref="B10"/>
    </sheetView>
  </sheetViews>
  <sheetFormatPr defaultColWidth="41.5" defaultRowHeight="12" zeroHeight="false" outlineLevelRow="0" outlineLevelCol="0"/>
  <cols>
    <col collapsed="false" customWidth="false" hidden="false" outlineLevel="0" max="1" min="1" style="6" width="41.49"/>
    <col collapsed="false" customWidth="true" hidden="false" outlineLevel="0" max="2" min="2" style="6" width="24.5"/>
    <col collapsed="false" customWidth="true" hidden="false" outlineLevel="0" max="3" min="3" style="6" width="14.49"/>
    <col collapsed="false" customWidth="true" hidden="false" outlineLevel="0" max="5" min="4" style="7" width="11.5"/>
    <col collapsed="false" customWidth="true" hidden="false" outlineLevel="0" max="7" min="6" style="6" width="7.5"/>
    <col collapsed="false" customWidth="true" hidden="false" outlineLevel="0" max="8" min="8" style="9" width="22.49"/>
    <col collapsed="false" customWidth="false" hidden="false" outlineLevel="0" max="257" min="9" style="6" width="41.49"/>
  </cols>
  <sheetData>
    <row r="1" customFormat="false" ht="12.75" hidden="false" customHeight="true" outlineLevel="0" collapsed="false">
      <c r="A1" s="10" t="s">
        <v>0</v>
      </c>
      <c r="B1" s="10" t="s">
        <v>1</v>
      </c>
      <c r="C1" s="10" t="s">
        <v>2</v>
      </c>
      <c r="D1" s="11" t="s">
        <v>3</v>
      </c>
      <c r="E1" s="12" t="s">
        <v>4</v>
      </c>
      <c r="F1" s="11" t="s">
        <v>5</v>
      </c>
      <c r="G1" s="12" t="s">
        <v>6</v>
      </c>
      <c r="H1" s="12" t="s">
        <v>7</v>
      </c>
    </row>
    <row r="2" customFormat="false" ht="12" hidden="false" customHeight="true" outlineLevel="0" collapsed="false">
      <c r="A2" s="5" t="s">
        <v>21</v>
      </c>
      <c r="B2" s="6" t="s">
        <v>22</v>
      </c>
      <c r="C2" s="6" t="s">
        <v>23</v>
      </c>
      <c r="D2" s="7" t="n">
        <v>39824</v>
      </c>
      <c r="E2" s="7" t="n">
        <v>39827</v>
      </c>
      <c r="F2" s="0" t="n">
        <v>283</v>
      </c>
      <c r="G2" s="6" t="s">
        <v>24</v>
      </c>
      <c r="H2" s="9" t="n">
        <v>6</v>
      </c>
    </row>
    <row r="3" customFormat="false" ht="12" hidden="false" customHeight="true" outlineLevel="0" collapsed="false">
      <c r="A3" s="5" t="s">
        <v>25</v>
      </c>
      <c r="B3" s="6" t="s">
        <v>26</v>
      </c>
      <c r="C3" s="6" t="s">
        <v>27</v>
      </c>
      <c r="D3" s="7" t="n">
        <v>39827</v>
      </c>
      <c r="E3" s="7" t="n">
        <v>39832</v>
      </c>
      <c r="F3" s="0" t="n">
        <v>183</v>
      </c>
      <c r="G3" s="6" t="s">
        <v>10</v>
      </c>
      <c r="H3" s="9" t="n">
        <v>6</v>
      </c>
    </row>
    <row r="4" customFormat="false" ht="12" hidden="false" customHeight="true" outlineLevel="0" collapsed="false">
      <c r="A4" s="5" t="s">
        <v>28</v>
      </c>
      <c r="B4" s="6" t="s">
        <v>29</v>
      </c>
      <c r="C4" s="6" t="s">
        <v>30</v>
      </c>
      <c r="D4" s="7" t="n">
        <v>39832</v>
      </c>
      <c r="E4" s="7" t="n">
        <v>39841</v>
      </c>
      <c r="F4" s="0" t="n">
        <v>302</v>
      </c>
      <c r="G4" s="6" t="s">
        <v>24</v>
      </c>
      <c r="H4" s="9" t="n">
        <v>5</v>
      </c>
    </row>
    <row r="5" customFormat="false" ht="24" hidden="false" customHeight="true" outlineLevel="0" collapsed="false">
      <c r="A5" s="5" t="s">
        <v>31</v>
      </c>
      <c r="B5" s="6" t="s">
        <v>32</v>
      </c>
      <c r="C5" s="6" t="s">
        <v>33</v>
      </c>
      <c r="D5" s="7" t="n">
        <v>39841</v>
      </c>
      <c r="E5" s="7" t="n">
        <v>39846</v>
      </c>
      <c r="F5" s="0" t="n">
        <v>324</v>
      </c>
      <c r="G5" s="6" t="s">
        <v>24</v>
      </c>
      <c r="H5" s="9" t="n">
        <v>8</v>
      </c>
    </row>
    <row r="6" customFormat="false" ht="12" hidden="false" customHeight="true" outlineLevel="0" collapsed="false">
      <c r="A6" s="5" t="s">
        <v>34</v>
      </c>
      <c r="B6" s="6" t="s">
        <v>35</v>
      </c>
      <c r="C6" s="6" t="s">
        <v>33</v>
      </c>
      <c r="D6" s="7" t="n">
        <v>39846</v>
      </c>
      <c r="E6" s="7" t="n">
        <v>39848</v>
      </c>
      <c r="F6" s="0" t="n">
        <v>270</v>
      </c>
      <c r="G6" s="6" t="s">
        <v>10</v>
      </c>
      <c r="H6" s="9" t="n">
        <v>9</v>
      </c>
    </row>
    <row r="7" customFormat="false" ht="12" hidden="false" customHeight="true" outlineLevel="0" collapsed="false">
      <c r="A7" s="6" t="s">
        <v>36</v>
      </c>
      <c r="B7" s="6" t="s">
        <v>37</v>
      </c>
      <c r="C7" s="6" t="s">
        <v>38</v>
      </c>
      <c r="D7" s="7" t="n">
        <v>39848</v>
      </c>
      <c r="E7" s="7" t="n">
        <v>39854</v>
      </c>
      <c r="F7" s="0" t="n">
        <v>138</v>
      </c>
      <c r="G7" s="6" t="s">
        <v>10</v>
      </c>
      <c r="H7" s="9" t="n">
        <v>6</v>
      </c>
    </row>
    <row r="8" customFormat="false" ht="12" hidden="false" customHeight="true" outlineLevel="0" collapsed="false">
      <c r="A8" s="5" t="s">
        <v>39</v>
      </c>
      <c r="B8" s="6" t="s">
        <v>40</v>
      </c>
      <c r="C8" s="6" t="s">
        <v>41</v>
      </c>
      <c r="D8" s="7" t="n">
        <v>39854</v>
      </c>
      <c r="E8" s="7" t="n">
        <v>39867</v>
      </c>
      <c r="F8" s="0" t="n">
        <v>412</v>
      </c>
      <c r="G8" s="6" t="s">
        <v>10</v>
      </c>
      <c r="H8" s="13" t="n">
        <v>5</v>
      </c>
    </row>
    <row r="9" customFormat="false" ht="12" hidden="false" customHeight="true" outlineLevel="0" collapsed="false">
      <c r="A9" s="6" t="s">
        <v>42</v>
      </c>
      <c r="B9" s="6" t="s">
        <v>43</v>
      </c>
      <c r="C9" s="6" t="s">
        <v>44</v>
      </c>
      <c r="D9" s="7" t="n">
        <v>39867</v>
      </c>
      <c r="E9" s="7" t="n">
        <v>39881</v>
      </c>
      <c r="F9" s="0" t="n">
        <v>584</v>
      </c>
      <c r="G9" s="6" t="s">
        <v>10</v>
      </c>
      <c r="H9" s="14" t="s">
        <v>45</v>
      </c>
    </row>
    <row r="10" customFormat="false" ht="12" hidden="false" customHeight="true" outlineLevel="0" collapsed="false">
      <c r="A10" s="5" t="n">
        <v>2666</v>
      </c>
      <c r="B10" s="6" t="s">
        <v>46</v>
      </c>
      <c r="C10" s="6" t="s">
        <v>33</v>
      </c>
      <c r="D10" s="7" t="n">
        <v>39881</v>
      </c>
      <c r="E10" s="7" t="n">
        <v>39889</v>
      </c>
      <c r="F10" s="6" t="n">
        <v>1125</v>
      </c>
      <c r="G10" s="6" t="s">
        <v>10</v>
      </c>
      <c r="H10" s="14" t="s">
        <v>47</v>
      </c>
    </row>
    <row r="11" customFormat="false" ht="24" hidden="false" customHeight="true" outlineLevel="0" collapsed="false">
      <c r="A11" s="6" t="s">
        <v>48</v>
      </c>
      <c r="B11" s="6" t="s">
        <v>49</v>
      </c>
      <c r="C11" s="6" t="s">
        <v>50</v>
      </c>
      <c r="D11" s="7" t="n">
        <v>39889</v>
      </c>
      <c r="E11" s="7" t="n">
        <v>39895</v>
      </c>
      <c r="F11" s="6" t="n">
        <v>388</v>
      </c>
      <c r="G11" s="6" t="s">
        <v>24</v>
      </c>
      <c r="H11" s="14" t="s">
        <v>45</v>
      </c>
    </row>
    <row r="12" customFormat="false" ht="12" hidden="false" customHeight="true" outlineLevel="0" collapsed="false">
      <c r="A12" s="6" t="s">
        <v>51</v>
      </c>
      <c r="B12" s="6" t="s">
        <v>52</v>
      </c>
      <c r="C12" s="6" t="s">
        <v>53</v>
      </c>
      <c r="D12" s="7" t="n">
        <v>39895</v>
      </c>
      <c r="E12" s="7" t="n">
        <v>39902</v>
      </c>
      <c r="F12" s="6" t="n">
        <v>397</v>
      </c>
      <c r="G12" s="6" t="s">
        <v>10</v>
      </c>
      <c r="H12" s="14" t="s">
        <v>54</v>
      </c>
    </row>
    <row r="13" customFormat="false" ht="12" hidden="false" customHeight="true" outlineLevel="0" collapsed="false">
      <c r="A13" s="6" t="s">
        <v>55</v>
      </c>
      <c r="B13" s="6" t="s">
        <v>56</v>
      </c>
      <c r="C13" s="6" t="s">
        <v>57</v>
      </c>
      <c r="D13" s="7" t="n">
        <v>39902</v>
      </c>
      <c r="E13" s="7" t="n">
        <v>39909</v>
      </c>
      <c r="F13" s="15" t="n">
        <v>313</v>
      </c>
      <c r="G13" s="6" t="s">
        <v>58</v>
      </c>
      <c r="H13" s="13" t="n">
        <v>5</v>
      </c>
    </row>
    <row r="14" s="16" customFormat="true" ht="24" hidden="false" customHeight="true" outlineLevel="0" collapsed="false">
      <c r="A14" s="6" t="s">
        <v>59</v>
      </c>
      <c r="B14" s="16" t="s">
        <v>60</v>
      </c>
      <c r="C14" s="16" t="s">
        <v>61</v>
      </c>
      <c r="D14" s="7" t="n">
        <v>39909</v>
      </c>
      <c r="E14" s="7" t="n">
        <v>39918</v>
      </c>
      <c r="F14" s="16" t="n">
        <v>234</v>
      </c>
      <c r="G14" s="6" t="s">
        <v>24</v>
      </c>
      <c r="H14" s="13" t="n">
        <v>7</v>
      </c>
    </row>
    <row r="15" customFormat="false" ht="12" hidden="false" customHeight="true" outlineLevel="0" collapsed="false">
      <c r="A15" s="6" t="s">
        <v>62</v>
      </c>
      <c r="B15" s="0" t="s">
        <v>63</v>
      </c>
      <c r="C15" s="0" t="s">
        <v>64</v>
      </c>
      <c r="D15" s="7" t="n">
        <v>39918</v>
      </c>
      <c r="E15" s="7" t="n">
        <v>39923</v>
      </c>
      <c r="F15" s="0" t="n">
        <v>312</v>
      </c>
      <c r="G15" s="6" t="s">
        <v>24</v>
      </c>
      <c r="H15" s="13" t="s">
        <v>45</v>
      </c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</row>
    <row r="16" s="16" customFormat="true" ht="12" hidden="false" customHeight="true" outlineLevel="0" collapsed="false">
      <c r="A16" s="16" t="s">
        <v>65</v>
      </c>
      <c r="B16" s="16" t="s">
        <v>66</v>
      </c>
      <c r="C16" s="16" t="s">
        <v>67</v>
      </c>
      <c r="D16" s="7" t="n">
        <v>39923</v>
      </c>
      <c r="E16" s="7" t="n">
        <v>39930</v>
      </c>
      <c r="F16" s="16" t="n">
        <v>184</v>
      </c>
      <c r="G16" s="6" t="s">
        <v>24</v>
      </c>
      <c r="H16" s="13" t="n">
        <v>7</v>
      </c>
    </row>
    <row r="17" s="16" customFormat="true" ht="12" hidden="false" customHeight="true" outlineLevel="0" collapsed="false">
      <c r="A17" s="6" t="s">
        <v>68</v>
      </c>
      <c r="B17" s="16" t="s">
        <v>69</v>
      </c>
      <c r="C17" s="16" t="s">
        <v>70</v>
      </c>
      <c r="D17" s="7" t="n">
        <v>39930</v>
      </c>
      <c r="E17" s="7" t="n">
        <v>39935</v>
      </c>
      <c r="F17" s="0" t="n">
        <v>348</v>
      </c>
      <c r="G17" s="6" t="s">
        <v>10</v>
      </c>
      <c r="H17" s="13" t="s">
        <v>71</v>
      </c>
    </row>
    <row r="18" customFormat="false" ht="12" hidden="false" customHeight="true" outlineLevel="0" collapsed="false">
      <c r="A18" s="6" t="s">
        <v>72</v>
      </c>
      <c r="B18" s="0" t="s">
        <v>73</v>
      </c>
      <c r="C18" s="0" t="s">
        <v>74</v>
      </c>
      <c r="D18" s="7" t="n">
        <v>39935</v>
      </c>
      <c r="E18" s="7" t="n">
        <v>39939</v>
      </c>
      <c r="F18" s="0" t="n">
        <v>321</v>
      </c>
      <c r="G18" s="16" t="s">
        <v>10</v>
      </c>
      <c r="H18" s="13" t="n">
        <v>8</v>
      </c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</row>
    <row r="19" customFormat="false" ht="12" hidden="false" customHeight="true" outlineLevel="0" collapsed="false">
      <c r="A19" s="6" t="s">
        <v>75</v>
      </c>
      <c r="B19" s="0" t="s">
        <v>76</v>
      </c>
      <c r="C19" s="0" t="s">
        <v>77</v>
      </c>
      <c r="D19" s="7" t="n">
        <v>39939</v>
      </c>
      <c r="E19" s="7" t="n">
        <v>39944</v>
      </c>
      <c r="F19" s="0" t="n">
        <v>199</v>
      </c>
      <c r="G19" s="16" t="s">
        <v>10</v>
      </c>
      <c r="H19" s="13" t="s">
        <v>45</v>
      </c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</row>
    <row r="20" customFormat="false" ht="12" hidden="false" customHeight="true" outlineLevel="0" collapsed="false">
      <c r="A20" s="0" t="s">
        <v>78</v>
      </c>
      <c r="B20" s="0" t="s">
        <v>79</v>
      </c>
      <c r="C20" s="0" t="s">
        <v>80</v>
      </c>
      <c r="D20" s="7" t="n">
        <v>39944</v>
      </c>
      <c r="E20" s="7" t="n">
        <v>39956</v>
      </c>
      <c r="F20" s="0" t="n">
        <v>283</v>
      </c>
      <c r="G20" s="16" t="s">
        <v>10</v>
      </c>
      <c r="H20" s="13" t="s">
        <v>71</v>
      </c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</row>
    <row r="21" customFormat="false" ht="12" hidden="false" customHeight="true" outlineLevel="0" collapsed="false">
      <c r="A21" s="6" t="s">
        <v>81</v>
      </c>
      <c r="B21" s="0" t="s">
        <v>82</v>
      </c>
      <c r="C21" s="0" t="s">
        <v>33</v>
      </c>
      <c r="D21" s="7" t="n">
        <v>39956</v>
      </c>
      <c r="E21" s="7" t="n">
        <v>39969</v>
      </c>
      <c r="F21" s="0" t="n">
        <v>873</v>
      </c>
      <c r="G21" s="16" t="s">
        <v>10</v>
      </c>
      <c r="H21" s="13" t="n">
        <v>6</v>
      </c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</row>
    <row r="22" customFormat="false" ht="12" hidden="false" customHeight="true" outlineLevel="0" collapsed="false">
      <c r="A22" s="6" t="s">
        <v>83</v>
      </c>
      <c r="B22" s="0" t="s">
        <v>84</v>
      </c>
      <c r="C22" s="0" t="s">
        <v>85</v>
      </c>
      <c r="D22" s="7" t="n">
        <v>39969</v>
      </c>
      <c r="E22" s="7" t="n">
        <v>39974</v>
      </c>
      <c r="F22" s="0" t="n">
        <v>174</v>
      </c>
      <c r="G22" s="16" t="s">
        <v>10</v>
      </c>
      <c r="H22" s="13" t="n">
        <v>4</v>
      </c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</row>
    <row r="23" s="16" customFormat="true" ht="12" hidden="false" customHeight="true" outlineLevel="0" collapsed="false">
      <c r="A23" s="6" t="s">
        <v>86</v>
      </c>
      <c r="B23" s="0" t="s">
        <v>87</v>
      </c>
      <c r="C23" s="16" t="s">
        <v>88</v>
      </c>
      <c r="D23" s="7" t="n">
        <v>39974</v>
      </c>
      <c r="E23" s="7" t="n">
        <v>39984</v>
      </c>
      <c r="F23" s="16" t="n">
        <v>185</v>
      </c>
      <c r="G23" s="16" t="s">
        <v>10</v>
      </c>
      <c r="H23" s="13" t="n">
        <v>6</v>
      </c>
    </row>
    <row r="24" s="16" customFormat="true" ht="24" hidden="false" customHeight="true" outlineLevel="0" collapsed="false">
      <c r="A24" s="6" t="s">
        <v>89</v>
      </c>
      <c r="B24" s="0" t="s">
        <v>90</v>
      </c>
      <c r="C24" s="16" t="s">
        <v>70</v>
      </c>
      <c r="D24" s="7" t="n">
        <v>39984</v>
      </c>
      <c r="E24" s="7" t="n">
        <v>39989</v>
      </c>
      <c r="F24" s="0" t="n">
        <v>752</v>
      </c>
      <c r="G24" s="16" t="s">
        <v>10</v>
      </c>
      <c r="H24" s="13" t="n">
        <v>8</v>
      </c>
    </row>
    <row r="25" s="17" customFormat="true" ht="24" hidden="false" customHeight="true" outlineLevel="0" collapsed="false">
      <c r="A25" s="6" t="s">
        <v>91</v>
      </c>
      <c r="B25" s="0" t="s">
        <v>92</v>
      </c>
      <c r="C25" s="16" t="s">
        <v>93</v>
      </c>
      <c r="D25" s="7" t="n">
        <v>39989</v>
      </c>
      <c r="E25" s="7" t="n">
        <v>39994</v>
      </c>
      <c r="F25" s="0" t="n">
        <v>394</v>
      </c>
      <c r="G25" s="16" t="s">
        <v>58</v>
      </c>
      <c r="H25" s="13" t="n">
        <v>6</v>
      </c>
    </row>
    <row r="26" customFormat="false" ht="12" hidden="false" customHeight="true" outlineLevel="0" collapsed="false">
      <c r="A26" s="6" t="s">
        <v>94</v>
      </c>
      <c r="B26" s="0" t="s">
        <v>95</v>
      </c>
      <c r="C26" s="0" t="s">
        <v>96</v>
      </c>
      <c r="D26" s="7" t="n">
        <v>39994</v>
      </c>
      <c r="E26" s="7" t="n">
        <v>40001</v>
      </c>
      <c r="F26" s="0" t="n">
        <v>323</v>
      </c>
      <c r="G26" s="16" t="s">
        <v>10</v>
      </c>
      <c r="H26" s="13" t="n">
        <v>5</v>
      </c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</row>
    <row r="27" s="18" customFormat="true" ht="12" hidden="false" customHeight="true" outlineLevel="0" collapsed="false">
      <c r="A27" s="6" t="s">
        <v>97</v>
      </c>
      <c r="B27" s="0" t="s">
        <v>98</v>
      </c>
      <c r="C27" s="16" t="s">
        <v>99</v>
      </c>
      <c r="D27" s="7" t="n">
        <v>40001</v>
      </c>
      <c r="E27" s="7" t="n">
        <v>40008</v>
      </c>
      <c r="F27" s="0" t="n">
        <v>365</v>
      </c>
      <c r="G27" s="16" t="s">
        <v>10</v>
      </c>
      <c r="H27" s="13" t="n">
        <v>7</v>
      </c>
    </row>
    <row r="28" customFormat="false" ht="12" hidden="false" customHeight="true" outlineLevel="0" collapsed="false">
      <c r="A28" s="6" t="s">
        <v>100</v>
      </c>
      <c r="B28" s="0" t="s">
        <v>101</v>
      </c>
      <c r="C28" s="0" t="s">
        <v>70</v>
      </c>
      <c r="D28" s="7" t="n">
        <v>40008</v>
      </c>
      <c r="E28" s="7" t="n">
        <v>40013</v>
      </c>
      <c r="F28" s="0" t="n">
        <v>139</v>
      </c>
      <c r="G28" s="16" t="s">
        <v>10</v>
      </c>
      <c r="H28" s="13" t="n">
        <v>5</v>
      </c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  <c r="FX28" s="0"/>
      <c r="FY28" s="0"/>
      <c r="FZ28" s="0"/>
      <c r="GA28" s="0"/>
      <c r="GB28" s="0"/>
      <c r="GC28" s="0"/>
      <c r="GD28" s="0"/>
      <c r="GE28" s="0"/>
      <c r="GF28" s="0"/>
      <c r="GG28" s="0"/>
      <c r="GH28" s="0"/>
      <c r="GI28" s="0"/>
      <c r="GJ28" s="0"/>
      <c r="GK28" s="0"/>
      <c r="GL28" s="0"/>
      <c r="GM28" s="0"/>
      <c r="GN28" s="0"/>
      <c r="GO28" s="0"/>
      <c r="GP28" s="0"/>
      <c r="GQ28" s="0"/>
      <c r="GR28" s="0"/>
      <c r="GS28" s="0"/>
      <c r="GT28" s="0"/>
      <c r="GU28" s="0"/>
      <c r="GV28" s="0"/>
      <c r="GW28" s="0"/>
      <c r="GX28" s="0"/>
      <c r="GY28" s="0"/>
      <c r="GZ28" s="0"/>
      <c r="HA28" s="0"/>
      <c r="HB28" s="0"/>
      <c r="HC28" s="0"/>
      <c r="HD28" s="0"/>
      <c r="HE28" s="0"/>
      <c r="HF28" s="0"/>
      <c r="HG28" s="0"/>
      <c r="HH28" s="0"/>
      <c r="HI28" s="0"/>
      <c r="HJ28" s="0"/>
      <c r="HK28" s="0"/>
      <c r="HL28" s="0"/>
      <c r="HM28" s="0"/>
      <c r="HN28" s="0"/>
      <c r="HO28" s="0"/>
      <c r="HP28" s="0"/>
      <c r="HQ28" s="0"/>
      <c r="HR28" s="0"/>
      <c r="HS28" s="0"/>
      <c r="HT28" s="0"/>
      <c r="HU28" s="0"/>
      <c r="HV28" s="0"/>
      <c r="HW28" s="0"/>
      <c r="HX28" s="0"/>
      <c r="HY28" s="0"/>
      <c r="HZ28" s="0"/>
      <c r="IA28" s="0"/>
      <c r="IB28" s="0"/>
      <c r="IC28" s="0"/>
      <c r="ID28" s="0"/>
      <c r="IE28" s="0"/>
      <c r="IF28" s="0"/>
      <c r="IG28" s="0"/>
      <c r="IH28" s="0"/>
      <c r="II28" s="0"/>
      <c r="IJ28" s="0"/>
      <c r="IK28" s="0"/>
      <c r="IL28" s="0"/>
      <c r="IM28" s="0"/>
      <c r="IN28" s="0"/>
      <c r="IO28" s="0"/>
      <c r="IP28" s="0"/>
      <c r="IQ28" s="0"/>
      <c r="IR28" s="0"/>
      <c r="IS28" s="0"/>
      <c r="IT28" s="0"/>
      <c r="IU28" s="0"/>
      <c r="IV28" s="0"/>
    </row>
    <row r="29" s="16" customFormat="true" ht="12" hidden="false" customHeight="true" outlineLevel="0" collapsed="false">
      <c r="A29" s="6" t="s">
        <v>102</v>
      </c>
      <c r="B29" s="16" t="s">
        <v>103</v>
      </c>
      <c r="C29" s="16" t="s">
        <v>70</v>
      </c>
      <c r="D29" s="7" t="n">
        <v>40013</v>
      </c>
      <c r="E29" s="7" t="n">
        <v>40021</v>
      </c>
      <c r="F29" s="16" t="n">
        <v>309</v>
      </c>
      <c r="G29" s="16" t="s">
        <v>10</v>
      </c>
      <c r="H29" s="13" t="n">
        <v>8</v>
      </c>
    </row>
    <row r="30" s="16" customFormat="true" ht="12" hidden="false" customHeight="true" outlineLevel="0" collapsed="false">
      <c r="A30" s="6" t="s">
        <v>104</v>
      </c>
      <c r="B30" s="16" t="s">
        <v>105</v>
      </c>
      <c r="C30" s="16" t="s">
        <v>33</v>
      </c>
      <c r="D30" s="7" t="n">
        <v>40021</v>
      </c>
      <c r="E30" s="7" t="n">
        <v>40022</v>
      </c>
      <c r="F30" s="16" t="n">
        <v>540</v>
      </c>
      <c r="G30" s="16" t="s">
        <v>106</v>
      </c>
      <c r="H30" s="13" t="n">
        <v>3</v>
      </c>
    </row>
    <row r="31" customFormat="false" ht="12" hidden="false" customHeight="true" outlineLevel="0" collapsed="false">
      <c r="A31" s="6" t="s">
        <v>107</v>
      </c>
      <c r="B31" s="0" t="s">
        <v>108</v>
      </c>
      <c r="C31" s="0" t="s">
        <v>109</v>
      </c>
      <c r="D31" s="7" t="n">
        <v>40022</v>
      </c>
      <c r="E31" s="7" t="s">
        <v>110</v>
      </c>
      <c r="F31" s="0" t="n">
        <v>311</v>
      </c>
      <c r="G31" s="16" t="s">
        <v>10</v>
      </c>
      <c r="H31" s="13" t="s">
        <v>110</v>
      </c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/>
      <c r="CG31" s="0"/>
      <c r="CH31" s="0"/>
      <c r="CI31" s="0"/>
      <c r="CJ31" s="0"/>
      <c r="CK31" s="0"/>
      <c r="CL31" s="0"/>
      <c r="CM31" s="0"/>
      <c r="CN31" s="0"/>
      <c r="CO31" s="0"/>
      <c r="CP31" s="0"/>
      <c r="CQ31" s="0"/>
      <c r="CR31" s="0"/>
      <c r="CS31" s="0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/>
      <c r="DP31" s="0"/>
      <c r="DQ31" s="0"/>
      <c r="DR31" s="0"/>
      <c r="DS31" s="0"/>
      <c r="DT31" s="0"/>
      <c r="DU31" s="0"/>
      <c r="DV31" s="0"/>
      <c r="DW31" s="0"/>
      <c r="DX31" s="0"/>
      <c r="DY31" s="0"/>
      <c r="DZ31" s="0"/>
      <c r="EA31" s="0"/>
      <c r="EB31" s="0"/>
      <c r="EC31" s="0"/>
      <c r="ED31" s="0"/>
      <c r="EE31" s="0"/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/>
      <c r="EQ31" s="0"/>
      <c r="ER31" s="0"/>
      <c r="ES31" s="0"/>
      <c r="ET31" s="0"/>
      <c r="EU31" s="0"/>
      <c r="EV31" s="0"/>
      <c r="EW31" s="0"/>
      <c r="EX31" s="0"/>
      <c r="EY31" s="0"/>
      <c r="EZ31" s="0"/>
      <c r="FA31" s="0"/>
      <c r="FB31" s="0"/>
      <c r="FC31" s="0"/>
      <c r="FD31" s="0"/>
      <c r="FE31" s="0"/>
      <c r="FF31" s="0"/>
      <c r="FG31" s="0"/>
      <c r="FH31" s="0"/>
      <c r="FI31" s="0"/>
      <c r="FJ31" s="0"/>
      <c r="FK31" s="0"/>
      <c r="FL31" s="0"/>
      <c r="FM31" s="0"/>
      <c r="FN31" s="0"/>
      <c r="FO31" s="0"/>
      <c r="FP31" s="0"/>
      <c r="FQ31" s="0"/>
      <c r="FR31" s="0"/>
      <c r="FS31" s="0"/>
      <c r="FT31" s="0"/>
      <c r="FU31" s="0"/>
      <c r="FV31" s="0"/>
      <c r="FW31" s="0"/>
      <c r="FX31" s="0"/>
      <c r="FY31" s="0"/>
      <c r="FZ31" s="0"/>
      <c r="GA31" s="0"/>
      <c r="GB31" s="0"/>
      <c r="GC31" s="0"/>
      <c r="GD31" s="0"/>
      <c r="GE31" s="0"/>
      <c r="GF31" s="0"/>
      <c r="GG31" s="0"/>
      <c r="GH31" s="0"/>
      <c r="GI31" s="0"/>
      <c r="GJ31" s="0"/>
      <c r="GK31" s="0"/>
      <c r="GL31" s="0"/>
      <c r="GM31" s="0"/>
      <c r="GN31" s="0"/>
      <c r="GO31" s="0"/>
      <c r="GP31" s="0"/>
      <c r="GQ31" s="0"/>
      <c r="GR31" s="0"/>
      <c r="GS31" s="0"/>
      <c r="GT31" s="0"/>
      <c r="GU31" s="0"/>
      <c r="GV31" s="0"/>
      <c r="GW31" s="0"/>
      <c r="GX31" s="0"/>
      <c r="GY31" s="0"/>
      <c r="GZ31" s="0"/>
      <c r="HA31" s="0"/>
      <c r="HB31" s="0"/>
      <c r="HC31" s="0"/>
      <c r="HD31" s="0"/>
      <c r="HE31" s="0"/>
      <c r="HF31" s="0"/>
      <c r="HG31" s="0"/>
      <c r="HH31" s="0"/>
      <c r="HI31" s="0"/>
      <c r="HJ31" s="0"/>
      <c r="HK31" s="0"/>
      <c r="HL31" s="0"/>
      <c r="HM31" s="0"/>
      <c r="HN31" s="0"/>
      <c r="HO31" s="0"/>
      <c r="HP31" s="0"/>
      <c r="HQ31" s="0"/>
      <c r="HR31" s="0"/>
      <c r="HS31" s="0"/>
      <c r="HT31" s="0"/>
      <c r="HU31" s="0"/>
      <c r="HV31" s="0"/>
      <c r="HW31" s="0"/>
      <c r="HX31" s="0"/>
      <c r="HY31" s="0"/>
      <c r="HZ31" s="0"/>
      <c r="IA31" s="0"/>
      <c r="IB31" s="0"/>
      <c r="IC31" s="0"/>
      <c r="ID31" s="0"/>
      <c r="IE31" s="0"/>
      <c r="IF31" s="0"/>
      <c r="IG31" s="0"/>
      <c r="IH31" s="0"/>
      <c r="II31" s="0"/>
      <c r="IJ31" s="0"/>
      <c r="IK31" s="0"/>
      <c r="IL31" s="0"/>
      <c r="IM31" s="0"/>
      <c r="IN31" s="0"/>
      <c r="IO31" s="0"/>
      <c r="IP31" s="0"/>
      <c r="IQ31" s="0"/>
      <c r="IR31" s="0"/>
      <c r="IS31" s="0"/>
      <c r="IT31" s="0"/>
      <c r="IU31" s="0"/>
      <c r="IV31" s="0"/>
    </row>
    <row r="32" s="16" customFormat="true" ht="12" hidden="false" customHeight="true" outlineLevel="0" collapsed="false">
      <c r="A32" s="6" t="s">
        <v>111</v>
      </c>
      <c r="B32" s="16" t="s">
        <v>112</v>
      </c>
      <c r="C32" s="16" t="s">
        <v>113</v>
      </c>
      <c r="D32" s="7" t="n">
        <v>40029</v>
      </c>
      <c r="E32" s="7" t="n">
        <v>40035</v>
      </c>
      <c r="F32" s="16" t="n">
        <v>414</v>
      </c>
      <c r="G32" s="16" t="s">
        <v>58</v>
      </c>
      <c r="H32" s="13" t="n">
        <v>7</v>
      </c>
    </row>
    <row r="33" s="16" customFormat="true" ht="12" hidden="false" customHeight="true" outlineLevel="0" collapsed="false">
      <c r="A33" s="6" t="s">
        <v>114</v>
      </c>
      <c r="B33" s="0" t="s">
        <v>115</v>
      </c>
      <c r="C33" s="16" t="s">
        <v>33</v>
      </c>
      <c r="D33" s="7" t="n">
        <v>40035</v>
      </c>
      <c r="E33" s="7" t="n">
        <v>40061</v>
      </c>
      <c r="F33" s="0" t="n">
        <v>924</v>
      </c>
      <c r="G33" s="16" t="s">
        <v>58</v>
      </c>
      <c r="H33" s="13" t="n">
        <v>8.5</v>
      </c>
    </row>
    <row r="34" customFormat="false" ht="12" hidden="false" customHeight="true" outlineLevel="0" collapsed="false">
      <c r="A34" s="0" t="s">
        <v>116</v>
      </c>
      <c r="B34" s="0" t="s">
        <v>117</v>
      </c>
      <c r="C34" s="0" t="s">
        <v>118</v>
      </c>
      <c r="D34" s="7" t="n">
        <v>40052</v>
      </c>
      <c r="E34" s="7" t="s">
        <v>110</v>
      </c>
      <c r="F34" s="0" t="n">
        <v>1007</v>
      </c>
      <c r="G34" s="0" t="s">
        <v>24</v>
      </c>
      <c r="H34" s="13" t="n">
        <v>6</v>
      </c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</row>
    <row r="35" customFormat="false" ht="12" hidden="false" customHeight="true" outlineLevel="0" collapsed="false">
      <c r="A35" s="6" t="s">
        <v>119</v>
      </c>
      <c r="B35" s="6" t="s">
        <v>120</v>
      </c>
      <c r="C35" s="6" t="s">
        <v>121</v>
      </c>
      <c r="D35" s="7" t="n">
        <v>40062</v>
      </c>
      <c r="E35" s="7" t="n">
        <v>40065</v>
      </c>
      <c r="F35" s="6" t="n">
        <v>406</v>
      </c>
      <c r="G35" s="16" t="s">
        <v>10</v>
      </c>
      <c r="H35" s="13" t="n">
        <v>6</v>
      </c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</row>
    <row r="36" customFormat="false" ht="12" hidden="false" customHeight="true" outlineLevel="0" collapsed="false">
      <c r="A36" s="6" t="s">
        <v>122</v>
      </c>
      <c r="B36" s="0" t="s">
        <v>123</v>
      </c>
      <c r="C36" s="0" t="s">
        <v>124</v>
      </c>
      <c r="D36" s="7" t="n">
        <v>40066</v>
      </c>
      <c r="E36" s="7" t="n">
        <v>40077</v>
      </c>
      <c r="F36" s="0" t="n">
        <v>531</v>
      </c>
      <c r="G36" s="16" t="s">
        <v>24</v>
      </c>
      <c r="H36" s="13" t="n">
        <v>4.5</v>
      </c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</row>
    <row r="37" customFormat="false" ht="12" hidden="false" customHeight="true" outlineLevel="0" collapsed="false">
      <c r="A37" s="0" t="s">
        <v>125</v>
      </c>
      <c r="B37" s="0" t="s">
        <v>126</v>
      </c>
      <c r="C37" s="0" t="s">
        <v>127</v>
      </c>
      <c r="D37" s="7" t="n">
        <v>40079</v>
      </c>
      <c r="E37" s="7" t="s">
        <v>110</v>
      </c>
      <c r="F37" s="0" t="n">
        <v>494</v>
      </c>
      <c r="G37" s="16" t="s">
        <v>24</v>
      </c>
      <c r="H37" s="13" t="n">
        <v>3</v>
      </c>
      <c r="I37" s="0" t="s">
        <v>128</v>
      </c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</row>
    <row r="38" customFormat="false" ht="12" hidden="false" customHeight="true" outlineLevel="0" collapsed="false">
      <c r="A38" s="6" t="s">
        <v>129</v>
      </c>
      <c r="B38" s="0" t="s">
        <v>130</v>
      </c>
      <c r="C38" s="0" t="s">
        <v>131</v>
      </c>
      <c r="D38" s="7" t="n">
        <v>40085</v>
      </c>
      <c r="E38" s="7" t="n">
        <v>40085</v>
      </c>
      <c r="F38" s="0" t="n">
        <v>175</v>
      </c>
      <c r="G38" s="16" t="s">
        <v>10</v>
      </c>
      <c r="H38" s="13" t="n">
        <v>8</v>
      </c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</row>
    <row r="39" customFormat="false" ht="12" hidden="false" customHeight="true" outlineLevel="0" collapsed="false">
      <c r="A39" s="0" t="s">
        <v>132</v>
      </c>
      <c r="B39" s="0" t="s">
        <v>133</v>
      </c>
      <c r="C39" s="0" t="s">
        <v>134</v>
      </c>
      <c r="D39" s="7" t="n">
        <v>40086</v>
      </c>
      <c r="E39" s="7" t="n">
        <v>40102</v>
      </c>
      <c r="F39" s="0" t="n">
        <v>477</v>
      </c>
      <c r="G39" s="0" t="s">
        <v>10</v>
      </c>
      <c r="H39" s="19" t="n">
        <v>7.5</v>
      </c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</row>
    <row r="40" customFormat="false" ht="12" hidden="false" customHeight="true" outlineLevel="0" collapsed="false">
      <c r="A40" s="6" t="s">
        <v>135</v>
      </c>
      <c r="B40" s="0" t="s">
        <v>90</v>
      </c>
      <c r="C40" s="0" t="s">
        <v>33</v>
      </c>
      <c r="D40" s="7" t="n">
        <v>40102</v>
      </c>
      <c r="E40" s="7" t="n">
        <v>40108</v>
      </c>
      <c r="F40" s="6" t="n">
        <v>812</v>
      </c>
      <c r="G40" s="16" t="s">
        <v>10</v>
      </c>
      <c r="H40" s="13" t="n">
        <v>8.5</v>
      </c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</row>
    <row r="41" customFormat="false" ht="12" hidden="false" customHeight="true" outlineLevel="0" collapsed="false">
      <c r="A41" s="6" t="s">
        <v>136</v>
      </c>
      <c r="B41" s="6" t="s">
        <v>46</v>
      </c>
      <c r="C41" s="6" t="s">
        <v>137</v>
      </c>
      <c r="D41" s="7" t="n">
        <v>40108</v>
      </c>
      <c r="E41" s="7" t="n">
        <v>40122</v>
      </c>
      <c r="F41" s="6" t="n">
        <v>609</v>
      </c>
      <c r="G41" s="6" t="s">
        <v>10</v>
      </c>
      <c r="H41" s="9" t="n">
        <v>9</v>
      </c>
    </row>
    <row r="42" customFormat="false" ht="12" hidden="false" customHeight="true" outlineLevel="0" collapsed="false">
      <c r="A42" s="6" t="s">
        <v>138</v>
      </c>
      <c r="B42" s="0" t="s">
        <v>139</v>
      </c>
      <c r="C42" s="0" t="s">
        <v>70</v>
      </c>
      <c r="D42" s="7" t="n">
        <v>40113</v>
      </c>
      <c r="E42" s="7" t="n">
        <v>40126</v>
      </c>
      <c r="F42" s="0" t="n">
        <v>135</v>
      </c>
      <c r="G42" s="16" t="s">
        <v>10</v>
      </c>
      <c r="H42" s="13" t="n">
        <v>7.5</v>
      </c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  <c r="CF42" s="0"/>
      <c r="CG42" s="0"/>
      <c r="CH42" s="0"/>
      <c r="CI42" s="0"/>
      <c r="CJ42" s="0"/>
      <c r="CK42" s="0"/>
      <c r="CL42" s="0"/>
      <c r="CM42" s="0"/>
      <c r="CN42" s="0"/>
      <c r="CO42" s="0"/>
      <c r="CP42" s="0"/>
      <c r="CQ42" s="0"/>
      <c r="CR42" s="0"/>
      <c r="CS42" s="0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  <c r="DF42" s="0"/>
      <c r="DG42" s="0"/>
      <c r="DH42" s="0"/>
      <c r="DI42" s="0"/>
      <c r="DJ42" s="0"/>
      <c r="DK42" s="0"/>
      <c r="DL42" s="0"/>
      <c r="DM42" s="0"/>
      <c r="DN42" s="0"/>
      <c r="DO42" s="0"/>
      <c r="DP42" s="0"/>
      <c r="DQ42" s="0"/>
      <c r="DR42" s="0"/>
      <c r="DS42" s="0"/>
      <c r="DT42" s="0"/>
      <c r="DU42" s="0"/>
      <c r="DV42" s="0"/>
      <c r="DW42" s="0"/>
      <c r="DX42" s="0"/>
      <c r="DY42" s="0"/>
      <c r="DZ42" s="0"/>
      <c r="EA42" s="0"/>
      <c r="EB42" s="0"/>
      <c r="EC42" s="0"/>
      <c r="ED42" s="0"/>
      <c r="EE42" s="0"/>
      <c r="EF42" s="0"/>
      <c r="EG42" s="0"/>
      <c r="EH42" s="0"/>
      <c r="EI42" s="0"/>
      <c r="EJ42" s="0"/>
      <c r="EK42" s="0"/>
      <c r="EL42" s="0"/>
      <c r="EM42" s="0"/>
      <c r="EN42" s="0"/>
      <c r="EO42" s="0"/>
      <c r="EP42" s="0"/>
      <c r="EQ42" s="0"/>
      <c r="ER42" s="0"/>
      <c r="ES42" s="0"/>
      <c r="ET42" s="0"/>
      <c r="EU42" s="0"/>
      <c r="EV42" s="0"/>
      <c r="EW42" s="0"/>
      <c r="EX42" s="0"/>
      <c r="EY42" s="0"/>
      <c r="EZ42" s="0"/>
      <c r="FA42" s="0"/>
      <c r="FB42" s="0"/>
      <c r="FC42" s="0"/>
      <c r="FD42" s="0"/>
      <c r="FE42" s="0"/>
      <c r="FF42" s="0"/>
      <c r="FG42" s="0"/>
      <c r="FH42" s="0"/>
      <c r="FI42" s="0"/>
      <c r="FJ42" s="0"/>
      <c r="FK42" s="0"/>
      <c r="FL42" s="0"/>
      <c r="FM42" s="0"/>
      <c r="FN42" s="0"/>
      <c r="FO42" s="0"/>
      <c r="FP42" s="0"/>
      <c r="FQ42" s="0"/>
      <c r="FR42" s="0"/>
      <c r="FS42" s="0"/>
      <c r="FT42" s="0"/>
      <c r="FU42" s="0"/>
      <c r="FV42" s="0"/>
      <c r="FW42" s="0"/>
      <c r="FX42" s="0"/>
      <c r="FY42" s="0"/>
      <c r="FZ42" s="0"/>
      <c r="GA42" s="0"/>
      <c r="GB42" s="0"/>
      <c r="GC42" s="0"/>
      <c r="GD42" s="0"/>
      <c r="GE42" s="0"/>
      <c r="GF42" s="0"/>
      <c r="GG42" s="0"/>
      <c r="GH42" s="0"/>
      <c r="GI42" s="0"/>
      <c r="GJ42" s="0"/>
      <c r="GK42" s="0"/>
      <c r="GL42" s="0"/>
      <c r="GM42" s="0"/>
      <c r="GN42" s="0"/>
      <c r="GO42" s="0"/>
      <c r="GP42" s="0"/>
      <c r="GQ42" s="0"/>
      <c r="GR42" s="0"/>
      <c r="GS42" s="0"/>
      <c r="GT42" s="0"/>
      <c r="GU42" s="0"/>
      <c r="GV42" s="0"/>
      <c r="GW42" s="0"/>
      <c r="GX42" s="0"/>
      <c r="GY42" s="0"/>
      <c r="GZ42" s="0"/>
      <c r="HA42" s="0"/>
      <c r="HB42" s="0"/>
      <c r="HC42" s="0"/>
      <c r="HD42" s="0"/>
      <c r="HE42" s="0"/>
      <c r="HF42" s="0"/>
      <c r="HG42" s="0"/>
      <c r="HH42" s="0"/>
      <c r="HI42" s="0"/>
      <c r="HJ42" s="0"/>
      <c r="HK42" s="0"/>
      <c r="HL42" s="0"/>
      <c r="HM42" s="0"/>
      <c r="HN42" s="0"/>
      <c r="HO42" s="0"/>
      <c r="HP42" s="0"/>
      <c r="HQ42" s="0"/>
      <c r="HR42" s="0"/>
      <c r="HS42" s="0"/>
      <c r="HT42" s="0"/>
      <c r="HU42" s="0"/>
      <c r="HV42" s="0"/>
      <c r="HW42" s="0"/>
      <c r="HX42" s="0"/>
      <c r="HY42" s="0"/>
      <c r="HZ42" s="0"/>
      <c r="IA42" s="0"/>
      <c r="IB42" s="0"/>
      <c r="IC42" s="0"/>
      <c r="ID42" s="0"/>
      <c r="IE42" s="0"/>
      <c r="IF42" s="0"/>
      <c r="IG42" s="0"/>
      <c r="IH42" s="0"/>
      <c r="II42" s="0"/>
      <c r="IJ42" s="0"/>
      <c r="IK42" s="0"/>
      <c r="IL42" s="0"/>
      <c r="IM42" s="0"/>
      <c r="IN42" s="0"/>
      <c r="IO42" s="0"/>
      <c r="IP42" s="0"/>
      <c r="IQ42" s="0"/>
      <c r="IR42" s="0"/>
      <c r="IS42" s="0"/>
      <c r="IT42" s="0"/>
      <c r="IU42" s="0"/>
      <c r="IV42" s="0"/>
    </row>
    <row r="43" customFormat="false" ht="24" hidden="false" customHeight="true" outlineLevel="0" collapsed="false">
      <c r="A43" s="6" t="s">
        <v>140</v>
      </c>
      <c r="B43" s="6" t="s">
        <v>141</v>
      </c>
      <c r="C43" s="0" t="s">
        <v>142</v>
      </c>
      <c r="D43" s="7" t="n">
        <v>40123</v>
      </c>
      <c r="E43" s="7" t="n">
        <v>40134</v>
      </c>
      <c r="F43" s="0" t="n">
        <v>488</v>
      </c>
      <c r="G43" s="6" t="s">
        <v>58</v>
      </c>
      <c r="H43" s="9" t="n">
        <v>6</v>
      </c>
    </row>
    <row r="44" customFormat="false" ht="12" hidden="false" customHeight="true" outlineLevel="0" collapsed="false">
      <c r="A44" s="0" t="s">
        <v>143</v>
      </c>
      <c r="B44" s="0" t="s">
        <v>144</v>
      </c>
      <c r="C44" s="0" t="s">
        <v>145</v>
      </c>
      <c r="D44" s="7" t="n">
        <v>40130</v>
      </c>
      <c r="E44" s="7" t="n">
        <v>40135</v>
      </c>
      <c r="F44" s="0" t="n">
        <v>262</v>
      </c>
      <c r="G44" s="0" t="s">
        <v>10</v>
      </c>
      <c r="H44" s="9" t="n">
        <v>6</v>
      </c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  <c r="CL44" s="0"/>
      <c r="CM44" s="0"/>
      <c r="CN44" s="0"/>
      <c r="CO44" s="0"/>
      <c r="CP44" s="0"/>
      <c r="CQ44" s="0"/>
      <c r="CR44" s="0"/>
      <c r="CS44" s="0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  <c r="DT44" s="0"/>
      <c r="DU44" s="0"/>
      <c r="DV44" s="0"/>
      <c r="DW44" s="0"/>
      <c r="DX44" s="0"/>
      <c r="DY44" s="0"/>
      <c r="DZ44" s="0"/>
      <c r="EA44" s="0"/>
      <c r="EB44" s="0"/>
      <c r="EC44" s="0"/>
      <c r="ED44" s="0"/>
      <c r="EE44" s="0"/>
      <c r="EF44" s="0"/>
      <c r="EG44" s="0"/>
      <c r="EH44" s="0"/>
      <c r="EI44" s="0"/>
      <c r="EJ44" s="0"/>
      <c r="EK44" s="0"/>
      <c r="EL44" s="0"/>
      <c r="EM44" s="0"/>
      <c r="EN44" s="0"/>
      <c r="EO44" s="0"/>
      <c r="EP44" s="0"/>
      <c r="EQ44" s="0"/>
      <c r="ER44" s="0"/>
      <c r="ES44" s="0"/>
      <c r="ET44" s="0"/>
      <c r="EU44" s="0"/>
      <c r="EV44" s="0"/>
      <c r="EW44" s="0"/>
      <c r="EX44" s="0"/>
      <c r="EY44" s="0"/>
      <c r="EZ44" s="0"/>
      <c r="FA44" s="0"/>
      <c r="FB44" s="0"/>
      <c r="FC44" s="0"/>
      <c r="FD44" s="0"/>
      <c r="FE44" s="0"/>
      <c r="FF44" s="0"/>
      <c r="FG44" s="0"/>
      <c r="FH44" s="0"/>
      <c r="FI44" s="0"/>
      <c r="FJ44" s="0"/>
      <c r="FK44" s="0"/>
      <c r="FL44" s="0"/>
      <c r="FM44" s="0"/>
      <c r="FN44" s="0"/>
      <c r="FO44" s="0"/>
      <c r="FP44" s="0"/>
      <c r="FQ44" s="0"/>
      <c r="FR44" s="0"/>
      <c r="FS44" s="0"/>
      <c r="FT44" s="0"/>
      <c r="FU44" s="0"/>
      <c r="FV44" s="0"/>
      <c r="FW44" s="0"/>
      <c r="FX44" s="0"/>
      <c r="FY44" s="0"/>
      <c r="FZ44" s="0"/>
      <c r="GA44" s="0"/>
      <c r="GB44" s="0"/>
      <c r="GC44" s="0"/>
      <c r="GD44" s="0"/>
      <c r="GE44" s="0"/>
      <c r="GF44" s="0"/>
      <c r="GG44" s="0"/>
      <c r="GH44" s="0"/>
      <c r="GI44" s="0"/>
      <c r="GJ44" s="0"/>
      <c r="GK44" s="0"/>
      <c r="GL44" s="0"/>
      <c r="GM44" s="0"/>
      <c r="GN44" s="0"/>
      <c r="GO44" s="0"/>
      <c r="GP44" s="0"/>
      <c r="GQ44" s="0"/>
      <c r="GR44" s="0"/>
      <c r="GS44" s="0"/>
      <c r="GT44" s="0"/>
      <c r="GU44" s="0"/>
      <c r="GV44" s="0"/>
      <c r="GW44" s="0"/>
      <c r="GX44" s="0"/>
      <c r="GY44" s="0"/>
      <c r="GZ44" s="0"/>
      <c r="HA44" s="0"/>
      <c r="HB44" s="0"/>
      <c r="HC44" s="0"/>
      <c r="HD44" s="0"/>
      <c r="HE44" s="0"/>
      <c r="HF44" s="0"/>
      <c r="HG44" s="0"/>
      <c r="HH44" s="0"/>
      <c r="HI44" s="0"/>
      <c r="HJ44" s="0"/>
      <c r="HK44" s="0"/>
      <c r="HL44" s="0"/>
      <c r="HM44" s="0"/>
      <c r="HN44" s="0"/>
      <c r="HO44" s="0"/>
      <c r="HP44" s="0"/>
      <c r="HQ44" s="0"/>
      <c r="HR44" s="0"/>
      <c r="HS44" s="0"/>
      <c r="HT44" s="0"/>
      <c r="HU44" s="0"/>
      <c r="HV44" s="0"/>
      <c r="HW44" s="0"/>
      <c r="HX44" s="0"/>
      <c r="HY44" s="0"/>
      <c r="HZ44" s="0"/>
      <c r="IA44" s="0"/>
      <c r="IB44" s="0"/>
      <c r="IC44" s="0"/>
      <c r="ID44" s="0"/>
      <c r="IE44" s="0"/>
      <c r="IF44" s="0"/>
      <c r="IG44" s="0"/>
      <c r="IH44" s="0"/>
      <c r="II44" s="0"/>
      <c r="IJ44" s="0"/>
      <c r="IK44" s="0"/>
      <c r="IL44" s="0"/>
      <c r="IM44" s="0"/>
      <c r="IN44" s="0"/>
      <c r="IO44" s="0"/>
      <c r="IP44" s="0"/>
      <c r="IQ44" s="0"/>
      <c r="IR44" s="0"/>
      <c r="IS44" s="0"/>
      <c r="IT44" s="0"/>
      <c r="IU44" s="0"/>
      <c r="IV44" s="0"/>
    </row>
    <row r="45" s="16" customFormat="true" ht="12" hidden="false" customHeight="true" outlineLevel="0" collapsed="false">
      <c r="A45" s="6" t="s">
        <v>146</v>
      </c>
      <c r="B45" s="0" t="s">
        <v>147</v>
      </c>
      <c r="C45" s="0" t="s">
        <v>148</v>
      </c>
      <c r="D45" s="20" t="n">
        <v>40136</v>
      </c>
      <c r="E45" s="7" t="n">
        <v>40140</v>
      </c>
      <c r="F45" s="16" t="n">
        <v>187</v>
      </c>
      <c r="G45" s="16" t="s">
        <v>10</v>
      </c>
      <c r="H45" s="21" t="n">
        <v>7</v>
      </c>
    </row>
    <row r="46" customFormat="false" ht="12" hidden="false" customHeight="true" outlineLevel="0" collapsed="false">
      <c r="A46" s="6" t="s">
        <v>149</v>
      </c>
      <c r="B46" s="0" t="s">
        <v>150</v>
      </c>
      <c r="C46" s="0" t="s">
        <v>151</v>
      </c>
      <c r="D46" s="7" t="n">
        <v>40141</v>
      </c>
      <c r="E46" s="22" t="n">
        <v>40145</v>
      </c>
      <c r="F46" s="0" t="n">
        <v>188</v>
      </c>
      <c r="G46" s="16" t="s">
        <v>10</v>
      </c>
      <c r="H46" s="21" t="n">
        <v>8.5</v>
      </c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/>
      <c r="BP46" s="0"/>
      <c r="BQ46" s="0"/>
      <c r="BR46" s="0"/>
      <c r="BS46" s="0"/>
      <c r="BT46" s="0"/>
      <c r="BU46" s="0"/>
      <c r="BV46" s="0"/>
      <c r="BW46" s="0"/>
      <c r="BX46" s="0"/>
      <c r="BY46" s="0"/>
      <c r="BZ46" s="0"/>
      <c r="CA46" s="0"/>
      <c r="CB46" s="0"/>
      <c r="CC46" s="0"/>
      <c r="CD46" s="0"/>
      <c r="CE46" s="0"/>
      <c r="CF46" s="0"/>
      <c r="CG46" s="0"/>
      <c r="CH46" s="0"/>
      <c r="CI46" s="0"/>
      <c r="CJ46" s="0"/>
      <c r="CK46" s="0"/>
      <c r="CL46" s="0"/>
      <c r="CM46" s="0"/>
      <c r="CN46" s="0"/>
      <c r="CO46" s="0"/>
      <c r="CP46" s="0"/>
      <c r="CQ46" s="0"/>
      <c r="CR46" s="0"/>
      <c r="CS46" s="0"/>
      <c r="CT46" s="0"/>
      <c r="CU46" s="0"/>
      <c r="CV46" s="0"/>
      <c r="CW46" s="0"/>
      <c r="CX46" s="0"/>
      <c r="CY46" s="0"/>
      <c r="CZ46" s="0"/>
      <c r="DA46" s="0"/>
      <c r="DB46" s="0"/>
      <c r="DC46" s="0"/>
      <c r="DD46" s="0"/>
      <c r="DE46" s="0"/>
      <c r="DF46" s="0"/>
      <c r="DG46" s="0"/>
      <c r="DH46" s="0"/>
      <c r="DI46" s="0"/>
      <c r="DJ46" s="0"/>
      <c r="DK46" s="0"/>
      <c r="DL46" s="0"/>
      <c r="DM46" s="0"/>
      <c r="DN46" s="0"/>
      <c r="DO46" s="0"/>
      <c r="DP46" s="0"/>
      <c r="DQ46" s="0"/>
      <c r="DR46" s="0"/>
      <c r="DS46" s="0"/>
      <c r="DT46" s="0"/>
      <c r="DU46" s="0"/>
      <c r="DV46" s="0"/>
      <c r="DW46" s="0"/>
      <c r="DX46" s="0"/>
      <c r="DY46" s="0"/>
      <c r="DZ46" s="0"/>
      <c r="EA46" s="0"/>
      <c r="EB46" s="0"/>
      <c r="EC46" s="0"/>
      <c r="ED46" s="0"/>
      <c r="EE46" s="0"/>
      <c r="EF46" s="0"/>
      <c r="EG46" s="0"/>
      <c r="EH46" s="0"/>
      <c r="EI46" s="0"/>
      <c r="EJ46" s="0"/>
      <c r="EK46" s="0"/>
      <c r="EL46" s="0"/>
      <c r="EM46" s="0"/>
      <c r="EN46" s="0"/>
      <c r="EO46" s="0"/>
      <c r="EP46" s="0"/>
      <c r="EQ46" s="0"/>
      <c r="ER46" s="0"/>
      <c r="ES46" s="0"/>
      <c r="ET46" s="0"/>
      <c r="EU46" s="0"/>
      <c r="EV46" s="0"/>
      <c r="EW46" s="0"/>
      <c r="EX46" s="0"/>
      <c r="EY46" s="0"/>
      <c r="EZ46" s="0"/>
      <c r="FA46" s="0"/>
      <c r="FB46" s="0"/>
      <c r="FC46" s="0"/>
      <c r="FD46" s="0"/>
      <c r="FE46" s="0"/>
      <c r="FF46" s="0"/>
      <c r="FG46" s="0"/>
      <c r="FH46" s="0"/>
      <c r="FI46" s="0"/>
      <c r="FJ46" s="0"/>
      <c r="FK46" s="0"/>
      <c r="FL46" s="0"/>
      <c r="FM46" s="0"/>
      <c r="FN46" s="0"/>
      <c r="FO46" s="0"/>
      <c r="FP46" s="0"/>
      <c r="FQ46" s="0"/>
      <c r="FR46" s="0"/>
      <c r="FS46" s="0"/>
      <c r="FT46" s="0"/>
      <c r="FU46" s="0"/>
      <c r="FV46" s="0"/>
      <c r="FW46" s="0"/>
      <c r="FX46" s="0"/>
      <c r="FY46" s="0"/>
      <c r="FZ46" s="0"/>
      <c r="GA46" s="0"/>
      <c r="GB46" s="0"/>
      <c r="GC46" s="0"/>
      <c r="GD46" s="0"/>
      <c r="GE46" s="0"/>
      <c r="GF46" s="0"/>
      <c r="GG46" s="0"/>
      <c r="GH46" s="0"/>
      <c r="GI46" s="0"/>
      <c r="GJ46" s="0"/>
      <c r="GK46" s="0"/>
      <c r="GL46" s="0"/>
      <c r="GM46" s="0"/>
      <c r="GN46" s="0"/>
      <c r="GO46" s="0"/>
      <c r="GP46" s="0"/>
      <c r="GQ46" s="0"/>
      <c r="GR46" s="0"/>
      <c r="GS46" s="0"/>
      <c r="GT46" s="0"/>
      <c r="GU46" s="0"/>
      <c r="GV46" s="0"/>
      <c r="GW46" s="0"/>
      <c r="GX46" s="0"/>
      <c r="GY46" s="0"/>
      <c r="GZ46" s="0"/>
      <c r="HA46" s="0"/>
      <c r="HB46" s="0"/>
      <c r="HC46" s="0"/>
      <c r="HD46" s="0"/>
      <c r="HE46" s="0"/>
      <c r="HF46" s="0"/>
      <c r="HG46" s="0"/>
      <c r="HH46" s="0"/>
      <c r="HI46" s="0"/>
      <c r="HJ46" s="0"/>
      <c r="HK46" s="0"/>
      <c r="HL46" s="0"/>
      <c r="HM46" s="0"/>
      <c r="HN46" s="0"/>
      <c r="HO46" s="0"/>
      <c r="HP46" s="0"/>
      <c r="HQ46" s="0"/>
      <c r="HR46" s="0"/>
      <c r="HS46" s="0"/>
      <c r="HT46" s="0"/>
      <c r="HU46" s="0"/>
      <c r="HV46" s="0"/>
      <c r="HW46" s="0"/>
      <c r="HX46" s="0"/>
      <c r="HY46" s="0"/>
      <c r="HZ46" s="0"/>
      <c r="IA46" s="0"/>
      <c r="IB46" s="0"/>
      <c r="IC46" s="0"/>
      <c r="ID46" s="0"/>
      <c r="IE46" s="0"/>
      <c r="IF46" s="0"/>
      <c r="IG46" s="0"/>
      <c r="IH46" s="0"/>
      <c r="II46" s="0"/>
      <c r="IJ46" s="0"/>
      <c r="IK46" s="0"/>
      <c r="IL46" s="0"/>
      <c r="IM46" s="0"/>
      <c r="IN46" s="0"/>
      <c r="IO46" s="0"/>
      <c r="IP46" s="0"/>
      <c r="IQ46" s="0"/>
      <c r="IR46" s="0"/>
      <c r="IS46" s="0"/>
      <c r="IT46" s="0"/>
      <c r="IU46" s="0"/>
      <c r="IV46" s="0"/>
    </row>
    <row r="47" customFormat="false" ht="27" hidden="false" customHeight="true" outlineLevel="0" collapsed="false">
      <c r="A47" s="6" t="s">
        <v>152</v>
      </c>
      <c r="B47" s="0" t="s">
        <v>153</v>
      </c>
      <c r="C47" s="0" t="s">
        <v>154</v>
      </c>
      <c r="D47" s="7" t="n">
        <v>40145</v>
      </c>
      <c r="E47" s="22" t="n">
        <v>40150</v>
      </c>
      <c r="F47" s="0" t="n">
        <v>317</v>
      </c>
      <c r="G47" s="16" t="s">
        <v>24</v>
      </c>
      <c r="H47" s="21" t="n">
        <v>8</v>
      </c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/>
      <c r="BV47" s="0"/>
      <c r="BW47" s="0"/>
      <c r="BX47" s="0"/>
      <c r="BY47" s="0"/>
      <c r="BZ47" s="0"/>
      <c r="CA47" s="0"/>
      <c r="CB47" s="0"/>
      <c r="CC47" s="0"/>
      <c r="CD47" s="0"/>
      <c r="CE47" s="0"/>
      <c r="CF47" s="0"/>
      <c r="CG47" s="0"/>
      <c r="CH47" s="0"/>
      <c r="CI47" s="0"/>
      <c r="CJ47" s="0"/>
      <c r="CK47" s="0"/>
      <c r="CL47" s="0"/>
      <c r="CM47" s="0"/>
      <c r="CN47" s="0"/>
      <c r="CO47" s="0"/>
      <c r="CP47" s="0"/>
      <c r="CQ47" s="0"/>
      <c r="CR47" s="0"/>
      <c r="CS47" s="0"/>
      <c r="CT47" s="0"/>
      <c r="CU47" s="0"/>
      <c r="CV47" s="0"/>
      <c r="CW47" s="0"/>
      <c r="CX47" s="0"/>
      <c r="CY47" s="0"/>
      <c r="CZ47" s="0"/>
      <c r="DA47" s="0"/>
      <c r="DB47" s="0"/>
      <c r="DC47" s="0"/>
      <c r="DD47" s="0"/>
      <c r="DE47" s="0"/>
      <c r="DF47" s="0"/>
      <c r="DG47" s="0"/>
      <c r="DH47" s="0"/>
      <c r="DI47" s="0"/>
      <c r="DJ47" s="0"/>
      <c r="DK47" s="0"/>
      <c r="DL47" s="0"/>
      <c r="DM47" s="0"/>
      <c r="DN47" s="0"/>
      <c r="DO47" s="0"/>
      <c r="DP47" s="0"/>
      <c r="DQ47" s="0"/>
      <c r="DR47" s="0"/>
      <c r="DS47" s="0"/>
      <c r="DT47" s="0"/>
      <c r="DU47" s="0"/>
      <c r="DV47" s="0"/>
      <c r="DW47" s="0"/>
      <c r="DX47" s="0"/>
      <c r="DY47" s="0"/>
      <c r="DZ47" s="0"/>
      <c r="EA47" s="0"/>
      <c r="EB47" s="0"/>
      <c r="EC47" s="0"/>
      <c r="ED47" s="0"/>
      <c r="EE47" s="0"/>
      <c r="EF47" s="0"/>
      <c r="EG47" s="0"/>
      <c r="EH47" s="0"/>
      <c r="EI47" s="0"/>
      <c r="EJ47" s="0"/>
      <c r="EK47" s="0"/>
      <c r="EL47" s="0"/>
      <c r="EM47" s="0"/>
      <c r="EN47" s="0"/>
      <c r="EO47" s="0"/>
      <c r="EP47" s="0"/>
      <c r="EQ47" s="0"/>
      <c r="ER47" s="0"/>
      <c r="ES47" s="0"/>
      <c r="ET47" s="0"/>
      <c r="EU47" s="0"/>
      <c r="EV47" s="0"/>
      <c r="EW47" s="0"/>
      <c r="EX47" s="0"/>
      <c r="EY47" s="0"/>
      <c r="EZ47" s="0"/>
      <c r="FA47" s="0"/>
      <c r="FB47" s="0"/>
      <c r="FC47" s="0"/>
      <c r="FD47" s="0"/>
      <c r="FE47" s="0"/>
      <c r="FF47" s="0"/>
      <c r="FG47" s="0"/>
      <c r="FH47" s="0"/>
      <c r="FI47" s="0"/>
      <c r="FJ47" s="0"/>
      <c r="FK47" s="0"/>
      <c r="FL47" s="0"/>
      <c r="FM47" s="0"/>
      <c r="FN47" s="0"/>
      <c r="FO47" s="0"/>
      <c r="FP47" s="0"/>
      <c r="FQ47" s="0"/>
      <c r="FR47" s="0"/>
      <c r="FS47" s="0"/>
      <c r="FT47" s="0"/>
      <c r="FU47" s="0"/>
      <c r="FV47" s="0"/>
      <c r="FW47" s="0"/>
      <c r="FX47" s="0"/>
      <c r="FY47" s="0"/>
      <c r="FZ47" s="0"/>
      <c r="GA47" s="0"/>
      <c r="GB47" s="0"/>
      <c r="GC47" s="0"/>
      <c r="GD47" s="0"/>
      <c r="GE47" s="0"/>
      <c r="GF47" s="0"/>
      <c r="GG47" s="0"/>
      <c r="GH47" s="0"/>
      <c r="GI47" s="0"/>
      <c r="GJ47" s="0"/>
      <c r="GK47" s="0"/>
      <c r="GL47" s="0"/>
      <c r="GM47" s="0"/>
      <c r="GN47" s="0"/>
      <c r="GO47" s="0"/>
      <c r="GP47" s="0"/>
      <c r="GQ47" s="0"/>
      <c r="GR47" s="0"/>
      <c r="GS47" s="0"/>
      <c r="GT47" s="0"/>
      <c r="GU47" s="0"/>
      <c r="GV47" s="0"/>
      <c r="GW47" s="0"/>
      <c r="GX47" s="0"/>
      <c r="GY47" s="0"/>
      <c r="GZ47" s="0"/>
      <c r="HA47" s="0"/>
      <c r="HB47" s="0"/>
      <c r="HC47" s="0"/>
      <c r="HD47" s="0"/>
      <c r="HE47" s="0"/>
      <c r="HF47" s="0"/>
      <c r="HG47" s="0"/>
      <c r="HH47" s="0"/>
      <c r="HI47" s="0"/>
      <c r="HJ47" s="0"/>
      <c r="HK47" s="0"/>
      <c r="HL47" s="0"/>
      <c r="HM47" s="0"/>
      <c r="HN47" s="0"/>
      <c r="HO47" s="0"/>
      <c r="HP47" s="0"/>
      <c r="HQ47" s="0"/>
      <c r="HR47" s="0"/>
      <c r="HS47" s="0"/>
      <c r="HT47" s="0"/>
      <c r="HU47" s="0"/>
      <c r="HV47" s="0"/>
      <c r="HW47" s="0"/>
      <c r="HX47" s="0"/>
      <c r="HY47" s="0"/>
      <c r="HZ47" s="0"/>
      <c r="IA47" s="0"/>
      <c r="IB47" s="0"/>
      <c r="IC47" s="0"/>
      <c r="ID47" s="0"/>
      <c r="IE47" s="0"/>
      <c r="IF47" s="0"/>
      <c r="IG47" s="0"/>
      <c r="IH47" s="0"/>
      <c r="II47" s="0"/>
      <c r="IJ47" s="0"/>
      <c r="IK47" s="0"/>
      <c r="IL47" s="0"/>
      <c r="IM47" s="0"/>
      <c r="IN47" s="0"/>
      <c r="IO47" s="0"/>
      <c r="IP47" s="0"/>
      <c r="IQ47" s="0"/>
      <c r="IR47" s="0"/>
      <c r="IS47" s="0"/>
      <c r="IT47" s="0"/>
      <c r="IU47" s="0"/>
      <c r="IV47" s="0"/>
    </row>
    <row r="48" customFormat="false" ht="12" hidden="false" customHeight="true" outlineLevel="0" collapsed="false">
      <c r="A48" s="0" t="s">
        <v>155</v>
      </c>
      <c r="B48" s="0" t="s">
        <v>73</v>
      </c>
      <c r="C48" s="0" t="s">
        <v>156</v>
      </c>
      <c r="D48" s="22" t="n">
        <v>40151</v>
      </c>
      <c r="E48" s="22" t="n">
        <v>40162</v>
      </c>
      <c r="F48" s="0" t="n">
        <v>330</v>
      </c>
      <c r="G48" s="0" t="s">
        <v>10</v>
      </c>
      <c r="H48" s="21" t="n">
        <v>7</v>
      </c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/>
      <c r="BV48" s="0"/>
      <c r="BW48" s="0"/>
      <c r="BX48" s="0"/>
      <c r="BY48" s="0"/>
      <c r="BZ48" s="0"/>
      <c r="CA48" s="0"/>
      <c r="CB48" s="0"/>
      <c r="CC48" s="0"/>
      <c r="CD48" s="0"/>
      <c r="CE48" s="0"/>
      <c r="CF48" s="0"/>
      <c r="CG48" s="0"/>
      <c r="CH48" s="0"/>
      <c r="CI48" s="0"/>
      <c r="CJ48" s="0"/>
      <c r="CK48" s="0"/>
      <c r="CL48" s="0"/>
      <c r="CM48" s="0"/>
      <c r="CN48" s="0"/>
      <c r="CO48" s="0"/>
      <c r="CP48" s="0"/>
      <c r="CQ48" s="0"/>
      <c r="CR48" s="0"/>
      <c r="CS48" s="0"/>
      <c r="CT48" s="0"/>
      <c r="CU48" s="0"/>
      <c r="CV48" s="0"/>
      <c r="CW48" s="0"/>
      <c r="CX48" s="0"/>
      <c r="CY48" s="0"/>
      <c r="CZ48" s="0"/>
      <c r="DA48" s="0"/>
      <c r="DB48" s="0"/>
      <c r="DC48" s="0"/>
      <c r="DD48" s="0"/>
      <c r="DE48" s="0"/>
      <c r="DF48" s="0"/>
      <c r="DG48" s="0"/>
      <c r="DH48" s="0"/>
      <c r="DI48" s="0"/>
      <c r="DJ48" s="0"/>
      <c r="DK48" s="0"/>
      <c r="DL48" s="0"/>
      <c r="DM48" s="0"/>
      <c r="DN48" s="0"/>
      <c r="DO48" s="0"/>
      <c r="DP48" s="0"/>
      <c r="DQ48" s="0"/>
      <c r="DR48" s="0"/>
      <c r="DS48" s="0"/>
      <c r="DT48" s="0"/>
      <c r="DU48" s="0"/>
      <c r="DV48" s="0"/>
      <c r="DW48" s="0"/>
      <c r="DX48" s="0"/>
      <c r="DY48" s="0"/>
      <c r="DZ48" s="0"/>
      <c r="EA48" s="0"/>
      <c r="EB48" s="0"/>
      <c r="EC48" s="0"/>
      <c r="ED48" s="0"/>
      <c r="EE48" s="0"/>
      <c r="EF48" s="0"/>
      <c r="EG48" s="0"/>
      <c r="EH48" s="0"/>
      <c r="EI48" s="0"/>
      <c r="EJ48" s="0"/>
      <c r="EK48" s="0"/>
      <c r="EL48" s="0"/>
      <c r="EM48" s="0"/>
      <c r="EN48" s="0"/>
      <c r="EO48" s="0"/>
      <c r="EP48" s="0"/>
      <c r="EQ48" s="0"/>
      <c r="ER48" s="0"/>
      <c r="ES48" s="0"/>
      <c r="ET48" s="0"/>
      <c r="EU48" s="0"/>
      <c r="EV48" s="0"/>
      <c r="EW48" s="0"/>
      <c r="EX48" s="0"/>
      <c r="EY48" s="0"/>
      <c r="EZ48" s="0"/>
      <c r="FA48" s="0"/>
      <c r="FB48" s="0"/>
      <c r="FC48" s="0"/>
      <c r="FD48" s="0"/>
      <c r="FE48" s="0"/>
      <c r="FF48" s="0"/>
      <c r="FG48" s="0"/>
      <c r="FH48" s="0"/>
      <c r="FI48" s="0"/>
      <c r="FJ48" s="0"/>
      <c r="FK48" s="0"/>
      <c r="FL48" s="0"/>
      <c r="FM48" s="0"/>
      <c r="FN48" s="0"/>
      <c r="FO48" s="0"/>
      <c r="FP48" s="0"/>
      <c r="FQ48" s="0"/>
      <c r="FR48" s="0"/>
      <c r="FS48" s="0"/>
      <c r="FT48" s="0"/>
      <c r="FU48" s="0"/>
      <c r="FV48" s="0"/>
      <c r="FW48" s="0"/>
      <c r="FX48" s="0"/>
      <c r="FY48" s="0"/>
      <c r="FZ48" s="0"/>
      <c r="GA48" s="0"/>
      <c r="GB48" s="0"/>
      <c r="GC48" s="0"/>
      <c r="GD48" s="0"/>
      <c r="GE48" s="0"/>
      <c r="GF48" s="0"/>
      <c r="GG48" s="0"/>
      <c r="GH48" s="0"/>
      <c r="GI48" s="0"/>
      <c r="GJ48" s="0"/>
      <c r="GK48" s="0"/>
      <c r="GL48" s="0"/>
      <c r="GM48" s="0"/>
      <c r="GN48" s="0"/>
      <c r="GO48" s="0"/>
      <c r="GP48" s="0"/>
      <c r="GQ48" s="0"/>
      <c r="GR48" s="0"/>
      <c r="GS48" s="0"/>
      <c r="GT48" s="0"/>
      <c r="GU48" s="0"/>
      <c r="GV48" s="0"/>
      <c r="GW48" s="0"/>
      <c r="GX48" s="0"/>
      <c r="GY48" s="0"/>
      <c r="GZ48" s="0"/>
      <c r="HA48" s="0"/>
      <c r="HB48" s="0"/>
      <c r="HC48" s="0"/>
      <c r="HD48" s="0"/>
      <c r="HE48" s="0"/>
      <c r="HF48" s="0"/>
      <c r="HG48" s="0"/>
      <c r="HH48" s="0"/>
      <c r="HI48" s="0"/>
      <c r="HJ48" s="0"/>
      <c r="HK48" s="0"/>
      <c r="HL48" s="0"/>
      <c r="HM48" s="0"/>
      <c r="HN48" s="0"/>
      <c r="HO48" s="0"/>
      <c r="HP48" s="0"/>
      <c r="HQ48" s="0"/>
      <c r="HR48" s="0"/>
      <c r="HS48" s="0"/>
      <c r="HT48" s="0"/>
      <c r="HU48" s="0"/>
      <c r="HV48" s="0"/>
      <c r="HW48" s="0"/>
      <c r="HX48" s="0"/>
      <c r="HY48" s="0"/>
      <c r="HZ48" s="0"/>
      <c r="IA48" s="0"/>
      <c r="IB48" s="0"/>
      <c r="IC48" s="0"/>
      <c r="ID48" s="0"/>
      <c r="IE48" s="0"/>
      <c r="IF48" s="0"/>
      <c r="IG48" s="0"/>
      <c r="IH48" s="0"/>
      <c r="II48" s="0"/>
      <c r="IJ48" s="0"/>
      <c r="IK48" s="0"/>
      <c r="IL48" s="0"/>
      <c r="IM48" s="0"/>
      <c r="IN48" s="0"/>
      <c r="IO48" s="0"/>
      <c r="IP48" s="0"/>
      <c r="IQ48" s="0"/>
      <c r="IR48" s="0"/>
      <c r="IS48" s="0"/>
      <c r="IT48" s="0"/>
      <c r="IU48" s="0"/>
      <c r="IV48" s="0"/>
    </row>
    <row r="49" customFormat="false" ht="12" hidden="false" customHeight="true" outlineLevel="0" collapsed="false">
      <c r="A49" s="0" t="s">
        <v>157</v>
      </c>
      <c r="B49" s="0" t="s">
        <v>158</v>
      </c>
      <c r="C49" s="0" t="s">
        <v>159</v>
      </c>
      <c r="D49" s="22" t="n">
        <v>40164</v>
      </c>
      <c r="E49" s="22" t="n">
        <v>40168</v>
      </c>
      <c r="F49" s="0" t="n">
        <v>154</v>
      </c>
      <c r="G49" s="0" t="s">
        <v>10</v>
      </c>
      <c r="H49" s="21" t="n">
        <v>7</v>
      </c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/>
      <c r="BP49" s="0"/>
      <c r="BQ49" s="0"/>
      <c r="BR49" s="0"/>
      <c r="BS49" s="0"/>
      <c r="BT49" s="0"/>
      <c r="BU49" s="0"/>
      <c r="BV49" s="0"/>
      <c r="BW49" s="0"/>
      <c r="BX49" s="0"/>
      <c r="BY49" s="0"/>
      <c r="BZ49" s="0"/>
      <c r="CA49" s="0"/>
      <c r="CB49" s="0"/>
      <c r="CC49" s="0"/>
      <c r="CD49" s="0"/>
      <c r="CE49" s="0"/>
      <c r="CF49" s="0"/>
      <c r="CG49" s="0"/>
      <c r="CH49" s="0"/>
      <c r="CI49" s="0"/>
      <c r="CJ49" s="0"/>
      <c r="CK49" s="0"/>
      <c r="CL49" s="0"/>
      <c r="CM49" s="0"/>
      <c r="CN49" s="0"/>
      <c r="CO49" s="0"/>
      <c r="CP49" s="0"/>
      <c r="CQ49" s="0"/>
      <c r="CR49" s="0"/>
      <c r="CS49" s="0"/>
      <c r="CT49" s="0"/>
      <c r="CU49" s="0"/>
      <c r="CV49" s="0"/>
      <c r="CW49" s="0"/>
      <c r="CX49" s="0"/>
      <c r="CY49" s="0"/>
      <c r="CZ49" s="0"/>
      <c r="DA49" s="0"/>
      <c r="DB49" s="0"/>
      <c r="DC49" s="0"/>
      <c r="DD49" s="0"/>
      <c r="DE49" s="0"/>
      <c r="DF49" s="0"/>
      <c r="DG49" s="0"/>
      <c r="DH49" s="0"/>
      <c r="DI49" s="0"/>
      <c r="DJ49" s="0"/>
      <c r="DK49" s="0"/>
      <c r="DL49" s="0"/>
      <c r="DM49" s="0"/>
      <c r="DN49" s="0"/>
      <c r="DO49" s="0"/>
      <c r="DP49" s="0"/>
      <c r="DQ49" s="0"/>
      <c r="DR49" s="0"/>
      <c r="DS49" s="0"/>
      <c r="DT49" s="0"/>
      <c r="DU49" s="0"/>
      <c r="DV49" s="0"/>
      <c r="DW49" s="0"/>
      <c r="DX49" s="0"/>
      <c r="DY49" s="0"/>
      <c r="DZ49" s="0"/>
      <c r="EA49" s="0"/>
      <c r="EB49" s="0"/>
      <c r="EC49" s="0"/>
      <c r="ED49" s="0"/>
      <c r="EE49" s="0"/>
      <c r="EF49" s="0"/>
      <c r="EG49" s="0"/>
      <c r="EH49" s="0"/>
      <c r="EI49" s="0"/>
      <c r="EJ49" s="0"/>
      <c r="EK49" s="0"/>
      <c r="EL49" s="0"/>
      <c r="EM49" s="0"/>
      <c r="EN49" s="0"/>
      <c r="EO49" s="0"/>
      <c r="EP49" s="0"/>
      <c r="EQ49" s="0"/>
      <c r="ER49" s="0"/>
      <c r="ES49" s="0"/>
      <c r="ET49" s="0"/>
      <c r="EU49" s="0"/>
      <c r="EV49" s="0"/>
      <c r="EW49" s="0"/>
      <c r="EX49" s="0"/>
      <c r="EY49" s="0"/>
      <c r="EZ49" s="0"/>
      <c r="FA49" s="0"/>
      <c r="FB49" s="0"/>
      <c r="FC49" s="0"/>
      <c r="FD49" s="0"/>
      <c r="FE49" s="0"/>
      <c r="FF49" s="0"/>
      <c r="FG49" s="0"/>
      <c r="FH49" s="0"/>
      <c r="FI49" s="0"/>
      <c r="FJ49" s="0"/>
      <c r="FK49" s="0"/>
      <c r="FL49" s="0"/>
      <c r="FM49" s="0"/>
      <c r="FN49" s="0"/>
      <c r="FO49" s="0"/>
      <c r="FP49" s="0"/>
      <c r="FQ49" s="0"/>
      <c r="FR49" s="0"/>
      <c r="FS49" s="0"/>
      <c r="FT49" s="0"/>
      <c r="FU49" s="0"/>
      <c r="FV49" s="0"/>
      <c r="FW49" s="0"/>
      <c r="FX49" s="0"/>
      <c r="FY49" s="0"/>
      <c r="FZ49" s="0"/>
      <c r="GA49" s="0"/>
      <c r="GB49" s="0"/>
      <c r="GC49" s="0"/>
      <c r="GD49" s="0"/>
      <c r="GE49" s="0"/>
      <c r="GF49" s="0"/>
      <c r="GG49" s="0"/>
      <c r="GH49" s="0"/>
      <c r="GI49" s="0"/>
      <c r="GJ49" s="0"/>
      <c r="GK49" s="0"/>
      <c r="GL49" s="0"/>
      <c r="GM49" s="0"/>
      <c r="GN49" s="0"/>
      <c r="GO49" s="0"/>
      <c r="GP49" s="0"/>
      <c r="GQ49" s="0"/>
      <c r="GR49" s="0"/>
      <c r="GS49" s="0"/>
      <c r="GT49" s="0"/>
      <c r="GU49" s="0"/>
      <c r="GV49" s="0"/>
      <c r="GW49" s="0"/>
      <c r="GX49" s="0"/>
      <c r="GY49" s="0"/>
      <c r="GZ49" s="0"/>
      <c r="HA49" s="0"/>
      <c r="HB49" s="0"/>
      <c r="HC49" s="0"/>
      <c r="HD49" s="0"/>
      <c r="HE49" s="0"/>
      <c r="HF49" s="0"/>
      <c r="HG49" s="0"/>
      <c r="HH49" s="0"/>
      <c r="HI49" s="0"/>
      <c r="HJ49" s="0"/>
      <c r="HK49" s="0"/>
      <c r="HL49" s="0"/>
      <c r="HM49" s="0"/>
      <c r="HN49" s="0"/>
      <c r="HO49" s="0"/>
      <c r="HP49" s="0"/>
      <c r="HQ49" s="0"/>
      <c r="HR49" s="0"/>
      <c r="HS49" s="0"/>
      <c r="HT49" s="0"/>
      <c r="HU49" s="0"/>
      <c r="HV49" s="0"/>
      <c r="HW49" s="0"/>
      <c r="HX49" s="0"/>
      <c r="HY49" s="0"/>
      <c r="HZ49" s="0"/>
      <c r="IA49" s="0"/>
      <c r="IB49" s="0"/>
      <c r="IC49" s="0"/>
      <c r="ID49" s="0"/>
      <c r="IE49" s="0"/>
      <c r="IF49" s="0"/>
      <c r="IG49" s="0"/>
      <c r="IH49" s="0"/>
      <c r="II49" s="0"/>
      <c r="IJ49" s="0"/>
      <c r="IK49" s="0"/>
      <c r="IL49" s="0"/>
      <c r="IM49" s="0"/>
      <c r="IN49" s="0"/>
      <c r="IO49" s="0"/>
      <c r="IP49" s="0"/>
      <c r="IQ49" s="0"/>
      <c r="IR49" s="0"/>
      <c r="IS49" s="0"/>
      <c r="IT49" s="0"/>
      <c r="IU49" s="0"/>
      <c r="IV49" s="0"/>
    </row>
    <row r="50" customFormat="false" ht="12" hidden="false" customHeight="true" outlineLevel="0" collapsed="false">
      <c r="A50" s="0" t="s">
        <v>160</v>
      </c>
      <c r="B50" s="0" t="s">
        <v>161</v>
      </c>
      <c r="C50" s="0" t="s">
        <v>162</v>
      </c>
      <c r="D50" s="22" t="n">
        <v>40169</v>
      </c>
      <c r="E50" s="22" t="n">
        <v>40175</v>
      </c>
      <c r="F50" s="0" t="n">
        <v>399</v>
      </c>
      <c r="G50" s="0" t="s">
        <v>58</v>
      </c>
      <c r="H50" s="21" t="n">
        <v>8</v>
      </c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/>
      <c r="BV50" s="0"/>
      <c r="BW50" s="0"/>
      <c r="BX50" s="0"/>
      <c r="BY50" s="0"/>
      <c r="BZ50" s="0"/>
      <c r="CA50" s="0"/>
      <c r="CB50" s="0"/>
      <c r="CC50" s="0"/>
      <c r="CD50" s="0"/>
      <c r="CE50" s="0"/>
      <c r="CF50" s="0"/>
      <c r="CG50" s="0"/>
      <c r="CH50" s="0"/>
      <c r="CI50" s="0"/>
      <c r="CJ50" s="0"/>
      <c r="CK50" s="0"/>
      <c r="CL50" s="0"/>
      <c r="CM50" s="0"/>
      <c r="CN50" s="0"/>
      <c r="CO50" s="0"/>
      <c r="CP50" s="0"/>
      <c r="CQ50" s="0"/>
      <c r="CR50" s="0"/>
      <c r="CS50" s="0"/>
      <c r="CT50" s="0"/>
      <c r="CU50" s="0"/>
      <c r="CV50" s="0"/>
      <c r="CW50" s="0"/>
      <c r="CX50" s="0"/>
      <c r="CY50" s="0"/>
      <c r="CZ50" s="0"/>
      <c r="DA50" s="0"/>
      <c r="DB50" s="0"/>
      <c r="DC50" s="0"/>
      <c r="DD50" s="0"/>
      <c r="DE50" s="0"/>
      <c r="DF50" s="0"/>
      <c r="DG50" s="0"/>
      <c r="DH50" s="0"/>
      <c r="DI50" s="0"/>
      <c r="DJ50" s="0"/>
      <c r="DK50" s="0"/>
      <c r="DL50" s="0"/>
      <c r="DM50" s="0"/>
      <c r="DN50" s="0"/>
      <c r="DO50" s="0"/>
      <c r="DP50" s="0"/>
      <c r="DQ50" s="0"/>
      <c r="DR50" s="0"/>
      <c r="DS50" s="0"/>
      <c r="DT50" s="0"/>
      <c r="DU50" s="0"/>
      <c r="DV50" s="0"/>
      <c r="DW50" s="0"/>
      <c r="DX50" s="0"/>
      <c r="DY50" s="0"/>
      <c r="DZ50" s="0"/>
      <c r="EA50" s="0"/>
      <c r="EB50" s="0"/>
      <c r="EC50" s="0"/>
      <c r="ED50" s="0"/>
      <c r="EE50" s="0"/>
      <c r="EF50" s="0"/>
      <c r="EG50" s="0"/>
      <c r="EH50" s="0"/>
      <c r="EI50" s="0"/>
      <c r="EJ50" s="0"/>
      <c r="EK50" s="0"/>
      <c r="EL50" s="0"/>
      <c r="EM50" s="0"/>
      <c r="EN50" s="0"/>
      <c r="EO50" s="0"/>
      <c r="EP50" s="0"/>
      <c r="EQ50" s="0"/>
      <c r="ER50" s="0"/>
      <c r="ES50" s="0"/>
      <c r="ET50" s="0"/>
      <c r="EU50" s="0"/>
      <c r="EV50" s="0"/>
      <c r="EW50" s="0"/>
      <c r="EX50" s="0"/>
      <c r="EY50" s="0"/>
      <c r="EZ50" s="0"/>
      <c r="FA50" s="0"/>
      <c r="FB50" s="0"/>
      <c r="FC50" s="0"/>
      <c r="FD50" s="0"/>
      <c r="FE50" s="0"/>
      <c r="FF50" s="0"/>
      <c r="FG50" s="0"/>
      <c r="FH50" s="0"/>
      <c r="FI50" s="0"/>
      <c r="FJ50" s="0"/>
      <c r="FK50" s="0"/>
      <c r="FL50" s="0"/>
      <c r="FM50" s="0"/>
      <c r="FN50" s="0"/>
      <c r="FO50" s="0"/>
      <c r="FP50" s="0"/>
      <c r="FQ50" s="0"/>
      <c r="FR50" s="0"/>
      <c r="FS50" s="0"/>
      <c r="FT50" s="0"/>
      <c r="FU50" s="0"/>
      <c r="FV50" s="0"/>
      <c r="FW50" s="0"/>
      <c r="FX50" s="0"/>
      <c r="FY50" s="0"/>
      <c r="FZ50" s="0"/>
      <c r="GA50" s="0"/>
      <c r="GB50" s="0"/>
      <c r="GC50" s="0"/>
      <c r="GD50" s="0"/>
      <c r="GE50" s="0"/>
      <c r="GF50" s="0"/>
      <c r="GG50" s="0"/>
      <c r="GH50" s="0"/>
      <c r="GI50" s="0"/>
      <c r="GJ50" s="0"/>
      <c r="GK50" s="0"/>
      <c r="GL50" s="0"/>
      <c r="GM50" s="0"/>
      <c r="GN50" s="0"/>
      <c r="GO50" s="0"/>
      <c r="GP50" s="0"/>
      <c r="GQ50" s="0"/>
      <c r="GR50" s="0"/>
      <c r="GS50" s="0"/>
      <c r="GT50" s="0"/>
      <c r="GU50" s="0"/>
      <c r="GV50" s="0"/>
      <c r="GW50" s="0"/>
      <c r="GX50" s="0"/>
      <c r="GY50" s="0"/>
      <c r="GZ50" s="0"/>
      <c r="HA50" s="0"/>
      <c r="HB50" s="0"/>
      <c r="HC50" s="0"/>
      <c r="HD50" s="0"/>
      <c r="HE50" s="0"/>
      <c r="HF50" s="0"/>
      <c r="HG50" s="0"/>
      <c r="HH50" s="0"/>
      <c r="HI50" s="0"/>
      <c r="HJ50" s="0"/>
      <c r="HK50" s="0"/>
      <c r="HL50" s="0"/>
      <c r="HM50" s="0"/>
      <c r="HN50" s="0"/>
      <c r="HO50" s="0"/>
      <c r="HP50" s="0"/>
      <c r="HQ50" s="0"/>
      <c r="HR50" s="0"/>
      <c r="HS50" s="0"/>
      <c r="HT50" s="0"/>
      <c r="HU50" s="0"/>
      <c r="HV50" s="0"/>
      <c r="HW50" s="0"/>
      <c r="HX50" s="0"/>
      <c r="HY50" s="0"/>
      <c r="HZ50" s="0"/>
      <c r="IA50" s="0"/>
      <c r="IB50" s="0"/>
      <c r="IC50" s="0"/>
      <c r="ID50" s="0"/>
      <c r="IE50" s="0"/>
      <c r="IF50" s="0"/>
      <c r="IG50" s="0"/>
      <c r="IH50" s="0"/>
      <c r="II50" s="0"/>
      <c r="IJ50" s="0"/>
      <c r="IK50" s="0"/>
      <c r="IL50" s="0"/>
      <c r="IM50" s="0"/>
      <c r="IN50" s="0"/>
      <c r="IO50" s="0"/>
      <c r="IP50" s="0"/>
      <c r="IQ50" s="0"/>
      <c r="IR50" s="0"/>
      <c r="IS50" s="0"/>
      <c r="IT50" s="0"/>
      <c r="IU50" s="0"/>
      <c r="IV50" s="0"/>
    </row>
    <row r="51" customFormat="false" ht="12" hidden="false" customHeight="true" outlineLevel="0" collapsed="false">
      <c r="A51" s="0" t="s">
        <v>163</v>
      </c>
      <c r="B51" s="0" t="s">
        <v>115</v>
      </c>
      <c r="C51" s="0" t="s">
        <v>164</v>
      </c>
      <c r="D51" s="22" t="n">
        <v>40175</v>
      </c>
      <c r="E51" s="22" t="n">
        <v>40185</v>
      </c>
      <c r="F51" s="0" t="n">
        <v>454</v>
      </c>
      <c r="G51" s="0" t="s">
        <v>58</v>
      </c>
      <c r="H51" s="21" t="n">
        <v>8</v>
      </c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/>
      <c r="BV51" s="0"/>
      <c r="BW51" s="0"/>
      <c r="BX51" s="0"/>
      <c r="BY51" s="0"/>
      <c r="BZ51" s="0"/>
      <c r="CA51" s="0"/>
      <c r="CB51" s="0"/>
      <c r="CC51" s="0"/>
      <c r="CD51" s="0"/>
      <c r="CE51" s="0"/>
      <c r="CF51" s="0"/>
      <c r="CG51" s="0"/>
      <c r="CH51" s="0"/>
      <c r="CI51" s="0"/>
      <c r="CJ51" s="0"/>
      <c r="CK51" s="0"/>
      <c r="CL51" s="0"/>
      <c r="CM51" s="0"/>
      <c r="CN51" s="0"/>
      <c r="CO51" s="0"/>
      <c r="CP51" s="0"/>
      <c r="CQ51" s="0"/>
      <c r="CR51" s="0"/>
      <c r="CS51" s="0"/>
      <c r="CT51" s="0"/>
      <c r="CU51" s="0"/>
      <c r="CV51" s="0"/>
      <c r="CW51" s="0"/>
      <c r="CX51" s="0"/>
      <c r="CY51" s="0"/>
      <c r="CZ51" s="0"/>
      <c r="DA51" s="0"/>
      <c r="DB51" s="0"/>
      <c r="DC51" s="0"/>
      <c r="DD51" s="0"/>
      <c r="DE51" s="0"/>
      <c r="DF51" s="0"/>
      <c r="DG51" s="0"/>
      <c r="DH51" s="0"/>
      <c r="DI51" s="0"/>
      <c r="DJ51" s="0"/>
      <c r="DK51" s="0"/>
      <c r="DL51" s="0"/>
      <c r="DM51" s="0"/>
      <c r="DN51" s="0"/>
      <c r="DO51" s="0"/>
      <c r="DP51" s="0"/>
      <c r="DQ51" s="0"/>
      <c r="DR51" s="0"/>
      <c r="DS51" s="0"/>
      <c r="DT51" s="0"/>
      <c r="DU51" s="0"/>
      <c r="DV51" s="0"/>
      <c r="DW51" s="0"/>
      <c r="DX51" s="0"/>
      <c r="DY51" s="0"/>
      <c r="DZ51" s="0"/>
      <c r="EA51" s="0"/>
      <c r="EB51" s="0"/>
      <c r="EC51" s="0"/>
      <c r="ED51" s="0"/>
      <c r="EE51" s="0"/>
      <c r="EF51" s="0"/>
      <c r="EG51" s="0"/>
      <c r="EH51" s="0"/>
      <c r="EI51" s="0"/>
      <c r="EJ51" s="0"/>
      <c r="EK51" s="0"/>
      <c r="EL51" s="0"/>
      <c r="EM51" s="0"/>
      <c r="EN51" s="0"/>
      <c r="EO51" s="0"/>
      <c r="EP51" s="0"/>
      <c r="EQ51" s="0"/>
      <c r="ER51" s="0"/>
      <c r="ES51" s="0"/>
      <c r="ET51" s="0"/>
      <c r="EU51" s="0"/>
      <c r="EV51" s="0"/>
      <c r="EW51" s="0"/>
      <c r="EX51" s="0"/>
      <c r="EY51" s="0"/>
      <c r="EZ51" s="0"/>
      <c r="FA51" s="0"/>
      <c r="FB51" s="0"/>
      <c r="FC51" s="0"/>
      <c r="FD51" s="0"/>
      <c r="FE51" s="0"/>
      <c r="FF51" s="0"/>
      <c r="FG51" s="0"/>
      <c r="FH51" s="0"/>
      <c r="FI51" s="0"/>
      <c r="FJ51" s="0"/>
      <c r="FK51" s="0"/>
      <c r="FL51" s="0"/>
      <c r="FM51" s="0"/>
      <c r="FN51" s="0"/>
      <c r="FO51" s="0"/>
      <c r="FP51" s="0"/>
      <c r="FQ51" s="0"/>
      <c r="FR51" s="0"/>
      <c r="FS51" s="0"/>
      <c r="FT51" s="0"/>
      <c r="FU51" s="0"/>
      <c r="FV51" s="0"/>
      <c r="FW51" s="0"/>
      <c r="FX51" s="0"/>
      <c r="FY51" s="0"/>
      <c r="FZ51" s="0"/>
      <c r="GA51" s="0"/>
      <c r="GB51" s="0"/>
      <c r="GC51" s="0"/>
      <c r="GD51" s="0"/>
      <c r="GE51" s="0"/>
      <c r="GF51" s="0"/>
      <c r="GG51" s="0"/>
      <c r="GH51" s="0"/>
      <c r="GI51" s="0"/>
      <c r="GJ51" s="0"/>
      <c r="GK51" s="0"/>
      <c r="GL51" s="0"/>
      <c r="GM51" s="0"/>
      <c r="GN51" s="0"/>
      <c r="GO51" s="0"/>
      <c r="GP51" s="0"/>
      <c r="GQ51" s="0"/>
      <c r="GR51" s="0"/>
      <c r="GS51" s="0"/>
      <c r="GT51" s="0"/>
      <c r="GU51" s="0"/>
      <c r="GV51" s="0"/>
      <c r="GW51" s="0"/>
      <c r="GX51" s="0"/>
      <c r="GY51" s="0"/>
      <c r="GZ51" s="0"/>
      <c r="HA51" s="0"/>
      <c r="HB51" s="0"/>
      <c r="HC51" s="0"/>
      <c r="HD51" s="0"/>
      <c r="HE51" s="0"/>
      <c r="HF51" s="0"/>
      <c r="HG51" s="0"/>
      <c r="HH51" s="0"/>
      <c r="HI51" s="0"/>
      <c r="HJ51" s="0"/>
      <c r="HK51" s="0"/>
      <c r="HL51" s="0"/>
      <c r="HM51" s="0"/>
      <c r="HN51" s="0"/>
      <c r="HO51" s="0"/>
      <c r="HP51" s="0"/>
      <c r="HQ51" s="0"/>
      <c r="HR51" s="0"/>
      <c r="HS51" s="0"/>
      <c r="HT51" s="0"/>
      <c r="HU51" s="0"/>
      <c r="HV51" s="0"/>
      <c r="HW51" s="0"/>
      <c r="HX51" s="0"/>
      <c r="HY51" s="0"/>
      <c r="HZ51" s="0"/>
      <c r="IA51" s="0"/>
      <c r="IB51" s="0"/>
      <c r="IC51" s="0"/>
      <c r="ID51" s="0"/>
      <c r="IE51" s="0"/>
      <c r="IF51" s="0"/>
      <c r="IG51" s="0"/>
      <c r="IH51" s="0"/>
      <c r="II51" s="0"/>
      <c r="IJ51" s="0"/>
      <c r="IK51" s="0"/>
      <c r="IL51" s="0"/>
      <c r="IM51" s="0"/>
      <c r="IN51" s="0"/>
      <c r="IO51" s="0"/>
      <c r="IP51" s="0"/>
      <c r="IQ51" s="0"/>
      <c r="IR51" s="0"/>
      <c r="IS51" s="0"/>
      <c r="IT51" s="0"/>
      <c r="IU51" s="0"/>
      <c r="IV51" s="0"/>
    </row>
    <row r="53" customFormat="false" ht="12" hidden="false" customHeight="true" outlineLevel="0" collapsed="false">
      <c r="E53" s="23" t="n">
        <f aca="false">COUNT(E2:E51)</f>
        <v>47</v>
      </c>
      <c r="F53" s="6" t="n">
        <f aca="false">SUM(F2:F51)</f>
        <v>19728</v>
      </c>
      <c r="H53" s="9" t="n">
        <f aca="false">AVERAGE(H2:H51)</f>
        <v>6.60975609756098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1"/>
  <sheetViews>
    <sheetView showFormulas="false" showGridLines="true" showRowColHeaders="true" showZeros="true" rightToLeft="false" tabSelected="false" showOutlineSymbols="true" defaultGridColor="true" view="normal" topLeftCell="A19" colorId="64" zoomScale="110" zoomScaleNormal="110" zoomScalePageLayoutView="100" workbookViewId="0">
      <selection pane="topLeft" activeCell="B29" activeCellId="0" sqref="B29"/>
    </sheetView>
  </sheetViews>
  <sheetFormatPr defaultColWidth="8.5" defaultRowHeight="12" zeroHeight="false" outlineLevelRow="0" outlineLevelCol="0"/>
  <cols>
    <col collapsed="false" customWidth="true" hidden="false" outlineLevel="0" max="1" min="1" style="0" width="46.49"/>
    <col collapsed="false" customWidth="true" hidden="false" outlineLevel="0" max="2" min="2" style="0" width="24.5"/>
    <col collapsed="false" customWidth="true" hidden="false" outlineLevel="0" max="3" min="3" style="0" width="12.5"/>
    <col collapsed="false" customWidth="true" hidden="false" outlineLevel="0" max="5" min="4" style="0" width="11.5"/>
    <col collapsed="false" customWidth="true" hidden="false" outlineLevel="0" max="6" min="6" style="0" width="9.49"/>
    <col collapsed="false" customWidth="true" hidden="false" outlineLevel="0" max="7" min="7" style="0" width="10.5"/>
    <col collapsed="false" customWidth="true" hidden="false" outlineLevel="0" max="8" min="8" style="0" width="22.49"/>
    <col collapsed="false" customWidth="false" hidden="true" outlineLevel="0" max="9" min="9" style="0" width="8.49"/>
    <col collapsed="false" customWidth="true" hidden="false" outlineLevel="0" max="10" min="10" style="0" width="22.49"/>
    <col collapsed="false" customWidth="true" hidden="false" outlineLevel="0" max="11" min="11" style="0" width="12.5"/>
    <col collapsed="false" customWidth="true" hidden="false" outlineLevel="0" max="12" min="12" style="0" width="23.49"/>
  </cols>
  <sheetData>
    <row r="1" s="6" customFormat="true" ht="12.75" hidden="false" customHeight="true" outlineLevel="0" collapsed="false">
      <c r="A1" s="24" t="s">
        <v>0</v>
      </c>
      <c r="B1" s="25" t="s">
        <v>1</v>
      </c>
      <c r="C1" s="25" t="s">
        <v>2</v>
      </c>
      <c r="D1" s="26" t="s">
        <v>3</v>
      </c>
      <c r="E1" s="27" t="s">
        <v>4</v>
      </c>
      <c r="F1" s="26" t="s">
        <v>5</v>
      </c>
      <c r="G1" s="27" t="s">
        <v>6</v>
      </c>
      <c r="H1" s="28" t="s">
        <v>7</v>
      </c>
      <c r="J1" s="26" t="s">
        <v>165</v>
      </c>
      <c r="K1" s="26" t="s">
        <v>166</v>
      </c>
      <c r="L1" s="26" t="s">
        <v>167</v>
      </c>
    </row>
    <row r="2" customFormat="false" ht="12" hidden="false" customHeight="true" outlineLevel="0" collapsed="false">
      <c r="A2" s="16" t="s">
        <v>168</v>
      </c>
      <c r="B2" s="16" t="s">
        <v>169</v>
      </c>
      <c r="C2" s="16" t="s">
        <v>70</v>
      </c>
      <c r="D2" s="29" t="n">
        <v>40135</v>
      </c>
      <c r="E2" s="22" t="n">
        <v>40442</v>
      </c>
      <c r="F2" s="16" t="n">
        <v>280</v>
      </c>
      <c r="G2" s="16" t="s">
        <v>10</v>
      </c>
      <c r="H2" s="13" t="n">
        <v>7</v>
      </c>
      <c r="J2" s="30" t="n">
        <f aca="false">IF(ISBLANK(E2),0,F2)</f>
        <v>280</v>
      </c>
      <c r="K2" s="30" t="n">
        <f aca="false">IF(ISBLANK(E2),0,1)</f>
        <v>1</v>
      </c>
      <c r="L2" s="30" t="str">
        <f aca="false">IF(ISBLANK(E2)," ",B2)</f>
        <v>Franz Kafka</v>
      </c>
    </row>
    <row r="3" customFormat="false" ht="12" hidden="false" customHeight="true" outlineLevel="0" collapsed="false">
      <c r="A3" s="16" t="s">
        <v>170</v>
      </c>
      <c r="B3" s="31" t="s">
        <v>171</v>
      </c>
      <c r="C3" s="16" t="s">
        <v>33</v>
      </c>
      <c r="D3" s="29" t="n">
        <v>40184</v>
      </c>
      <c r="E3" s="22" t="n">
        <v>40184</v>
      </c>
      <c r="F3" s="16" t="n">
        <v>240</v>
      </c>
      <c r="G3" s="16" t="s">
        <v>172</v>
      </c>
      <c r="H3" s="13" t="n">
        <v>8</v>
      </c>
      <c r="J3" s="30" t="n">
        <f aca="false">IF(ISBLANK(E3),0,F3)</f>
        <v>240</v>
      </c>
      <c r="K3" s="30" t="n">
        <f aca="false">IF(ISBLANK(E3),0,1)</f>
        <v>1</v>
      </c>
      <c r="L3" s="30" t="str">
        <f aca="false">IF(ISBLANK(E3)," ",B3)</f>
        <v>Simon Tofield</v>
      </c>
    </row>
    <row r="4" customFormat="false" ht="12" hidden="false" customHeight="true" outlineLevel="0" collapsed="false">
      <c r="A4" s="16" t="s">
        <v>173</v>
      </c>
      <c r="B4" s="16" t="s">
        <v>174</v>
      </c>
      <c r="C4" s="16" t="s">
        <v>175</v>
      </c>
      <c r="D4" s="29" t="n">
        <v>40186</v>
      </c>
      <c r="E4" s="22" t="n">
        <v>40192</v>
      </c>
      <c r="F4" s="16" t="n">
        <v>275</v>
      </c>
      <c r="G4" s="16" t="s">
        <v>10</v>
      </c>
      <c r="H4" s="13" t="n">
        <v>7.5</v>
      </c>
      <c r="J4" s="30" t="n">
        <f aca="false">IF(ISBLANK(E4),0,F4)</f>
        <v>275</v>
      </c>
      <c r="K4" s="30" t="n">
        <f aca="false">IF(ISBLANK(E4),0,1)</f>
        <v>1</v>
      </c>
      <c r="L4" s="30" t="str">
        <f aca="false">IF(ISBLANK(E4)," ",B4)</f>
        <v>Chuck Palahniuk</v>
      </c>
    </row>
    <row r="5" customFormat="false" ht="12" hidden="false" customHeight="true" outlineLevel="0" collapsed="false">
      <c r="A5" s="16" t="s">
        <v>176</v>
      </c>
      <c r="B5" s="16" t="s">
        <v>177</v>
      </c>
      <c r="C5" s="16" t="s">
        <v>33</v>
      </c>
      <c r="D5" s="29" t="n">
        <v>40188</v>
      </c>
      <c r="E5" s="22" t="n">
        <v>40206</v>
      </c>
      <c r="F5" s="16" t="n">
        <v>208</v>
      </c>
      <c r="G5" s="16" t="s">
        <v>172</v>
      </c>
      <c r="H5" s="13" t="n">
        <v>9</v>
      </c>
      <c r="J5" s="30" t="n">
        <f aca="false">IF(ISBLANK(E5),0,F5)</f>
        <v>208</v>
      </c>
      <c r="K5" s="30" t="n">
        <f aca="false">IF(ISBLANK(E5),0,1)</f>
        <v>1</v>
      </c>
      <c r="L5" s="30" t="str">
        <f aca="false">IF(ISBLANK(E5)," ",B5)</f>
        <v>Shigeru Mizuki</v>
      </c>
    </row>
    <row r="6" customFormat="false" ht="12" hidden="false" customHeight="true" outlineLevel="0" collapsed="false">
      <c r="A6" s="16" t="s">
        <v>178</v>
      </c>
      <c r="B6" s="16" t="s">
        <v>179</v>
      </c>
      <c r="C6" s="16" t="s">
        <v>180</v>
      </c>
      <c r="D6" s="29" t="n">
        <v>40193</v>
      </c>
      <c r="E6" s="22" t="n">
        <v>40204</v>
      </c>
      <c r="F6" s="16" t="n">
        <v>527</v>
      </c>
      <c r="G6" s="16" t="s">
        <v>10</v>
      </c>
      <c r="H6" s="13" t="n">
        <v>7</v>
      </c>
      <c r="J6" s="30" t="n">
        <f aca="false">IF(ISBLANK(E6),0,F6)</f>
        <v>527</v>
      </c>
      <c r="K6" s="30" t="n">
        <f aca="false">IF(ISBLANK(E6),0,1)</f>
        <v>1</v>
      </c>
      <c r="L6" s="30" t="str">
        <f aca="false">IF(ISBLANK(E6)," ",B6)</f>
        <v>José Saramago</v>
      </c>
    </row>
    <row r="7" s="16" customFormat="true" ht="12" hidden="false" customHeight="true" outlineLevel="0" collapsed="false">
      <c r="A7" s="16" t="s">
        <v>181</v>
      </c>
      <c r="B7" s="16" t="s">
        <v>182</v>
      </c>
      <c r="C7" s="16" t="s">
        <v>183</v>
      </c>
      <c r="D7" s="29" t="n">
        <v>40205</v>
      </c>
      <c r="E7" s="22" t="n">
        <v>40210</v>
      </c>
      <c r="F7" s="16" t="n">
        <v>205</v>
      </c>
      <c r="G7" s="16" t="s">
        <v>10</v>
      </c>
      <c r="H7" s="13" t="n">
        <v>6</v>
      </c>
      <c r="J7" s="30" t="n">
        <f aca="false">IF(ISBLANK(E7),0,F7)</f>
        <v>205</v>
      </c>
      <c r="K7" s="30" t="n">
        <f aca="false">IF(ISBLANK(E7),0,1)</f>
        <v>1</v>
      </c>
      <c r="L7" s="30" t="str">
        <f aca="false">IF(ISBLANK(E7)," ",B7)</f>
        <v>John Fante</v>
      </c>
    </row>
    <row r="8" customFormat="false" ht="12" hidden="false" customHeight="true" outlineLevel="0" collapsed="false">
      <c r="A8" s="16" t="s">
        <v>184</v>
      </c>
      <c r="B8" s="16" t="s">
        <v>185</v>
      </c>
      <c r="C8" s="16" t="s">
        <v>186</v>
      </c>
      <c r="D8" s="29" t="n">
        <v>40211</v>
      </c>
      <c r="E8" s="22" t="n">
        <v>40225</v>
      </c>
      <c r="F8" s="16" t="n">
        <v>703</v>
      </c>
      <c r="G8" s="16" t="s">
        <v>10</v>
      </c>
      <c r="H8" s="13" t="n">
        <v>8.5</v>
      </c>
      <c r="J8" s="30" t="n">
        <f aca="false">IF(ISBLANK(E8),0,F8)</f>
        <v>703</v>
      </c>
      <c r="K8" s="30" t="n">
        <f aca="false">IF(ISBLANK(E8),0,1)</f>
        <v>1</v>
      </c>
      <c r="L8" s="30" t="str">
        <f aca="false">IF(ISBLANK(E8)," ",B8)</f>
        <v>Fedor Dostoyevski </v>
      </c>
    </row>
    <row r="9" customFormat="false" ht="12" hidden="false" customHeight="true" outlineLevel="0" collapsed="false">
      <c r="A9" s="16" t="s">
        <v>187</v>
      </c>
      <c r="B9" s="16" t="s">
        <v>188</v>
      </c>
      <c r="C9" s="16" t="s">
        <v>189</v>
      </c>
      <c r="D9" s="29" t="n">
        <v>40222</v>
      </c>
      <c r="E9" s="22" t="n">
        <v>40227</v>
      </c>
      <c r="F9" s="16" t="n">
        <v>174</v>
      </c>
      <c r="G9" s="16" t="s">
        <v>10</v>
      </c>
      <c r="H9" s="13" t="n">
        <v>8</v>
      </c>
      <c r="J9" s="30" t="n">
        <f aca="false">IF(ISBLANK(E9),0,F9)</f>
        <v>174</v>
      </c>
      <c r="K9" s="30" t="n">
        <f aca="false">IF(ISBLANK(E9),0,1)</f>
        <v>1</v>
      </c>
      <c r="L9" s="30" t="str">
        <f aca="false">IF(ISBLANK(E9)," ",B9)</f>
        <v>Douglas Adams</v>
      </c>
    </row>
    <row r="10" customFormat="false" ht="12" hidden="false" customHeight="true" outlineLevel="0" collapsed="false">
      <c r="A10" s="16" t="s">
        <v>190</v>
      </c>
      <c r="B10" s="16" t="s">
        <v>191</v>
      </c>
      <c r="C10" s="16" t="s">
        <v>189</v>
      </c>
      <c r="D10" s="29" t="n">
        <v>40228</v>
      </c>
      <c r="E10" s="22" t="n">
        <v>40233</v>
      </c>
      <c r="F10" s="16" t="n">
        <v>210</v>
      </c>
      <c r="G10" s="16" t="s">
        <v>10</v>
      </c>
      <c r="H10" s="13" t="n">
        <v>8</v>
      </c>
      <c r="J10" s="30" t="n">
        <f aca="false">IF(ISBLANK(E10),0,F10)</f>
        <v>210</v>
      </c>
      <c r="K10" s="30" t="n">
        <f aca="false">IF(ISBLANK(E10),0,1)</f>
        <v>1</v>
      </c>
      <c r="L10" s="30" t="str">
        <f aca="false">IF(ISBLANK(E10)," ",B10)</f>
        <v>Cormac McCarthy</v>
      </c>
    </row>
    <row r="11" customFormat="false" ht="12" hidden="false" customHeight="true" outlineLevel="0" collapsed="false">
      <c r="A11" s="16" t="s">
        <v>192</v>
      </c>
      <c r="B11" s="31" t="s">
        <v>193</v>
      </c>
      <c r="C11" s="16" t="s">
        <v>189</v>
      </c>
      <c r="D11" s="29" t="n">
        <v>40233</v>
      </c>
      <c r="E11" s="22" t="n">
        <v>40248</v>
      </c>
      <c r="F11" s="16" t="n">
        <v>641</v>
      </c>
      <c r="G11" s="16" t="s">
        <v>10</v>
      </c>
      <c r="H11" s="13" t="n">
        <v>7.5</v>
      </c>
      <c r="J11" s="30" t="n">
        <f aca="false">IF(ISBLANK(E11),0,F11)</f>
        <v>641</v>
      </c>
      <c r="K11" s="30" t="n">
        <f aca="false">IF(ISBLANK(E11),0,1)</f>
        <v>1</v>
      </c>
      <c r="L11" s="30" t="str">
        <f aca="false">IF(ISBLANK(E11)," ",B11)</f>
        <v>Luther Blissett</v>
      </c>
    </row>
    <row r="12" customFormat="false" ht="12" hidden="false" customHeight="true" outlineLevel="0" collapsed="false">
      <c r="A12" s="16" t="s">
        <v>194</v>
      </c>
      <c r="B12" s="16" t="s">
        <v>195</v>
      </c>
      <c r="C12" s="16" t="s">
        <v>189</v>
      </c>
      <c r="D12" s="29" t="n">
        <v>40236</v>
      </c>
      <c r="E12" s="22" t="n">
        <v>40249</v>
      </c>
      <c r="F12" s="16" t="n">
        <v>232</v>
      </c>
      <c r="G12" s="16" t="s">
        <v>24</v>
      </c>
      <c r="H12" s="13" t="n">
        <v>7</v>
      </c>
      <c r="J12" s="30" t="n">
        <f aca="false">IF(ISBLANK(E12),0,F12)</f>
        <v>232</v>
      </c>
      <c r="K12" s="30" t="n">
        <f aca="false">IF(ISBLANK(E12),0,1)</f>
        <v>1</v>
      </c>
      <c r="L12" s="30" t="str">
        <f aca="false">IF(ISBLANK(E12)," ",B12)</f>
        <v>Juan Antonio Cebrián</v>
      </c>
    </row>
    <row r="13" customFormat="false" ht="12" hidden="false" customHeight="true" outlineLevel="0" collapsed="false">
      <c r="A13" s="16" t="s">
        <v>196</v>
      </c>
      <c r="B13" s="16" t="s">
        <v>197</v>
      </c>
      <c r="C13" s="16" t="s">
        <v>189</v>
      </c>
      <c r="D13" s="29" t="n">
        <v>40249</v>
      </c>
      <c r="E13" s="22" t="n">
        <v>40252</v>
      </c>
      <c r="F13" s="16" t="n">
        <v>272</v>
      </c>
      <c r="G13" s="16" t="s">
        <v>10</v>
      </c>
      <c r="H13" s="13" t="n">
        <v>7</v>
      </c>
      <c r="J13" s="30" t="n">
        <f aca="false">IF(ISBLANK(E13),0,F13)</f>
        <v>272</v>
      </c>
      <c r="K13" s="30" t="n">
        <f aca="false">IF(ISBLANK(E13),0,1)</f>
        <v>1</v>
      </c>
      <c r="L13" s="30" t="str">
        <f aca="false">IF(ISBLANK(E13)," ",B13)</f>
        <v>Juan Eslava Galán</v>
      </c>
    </row>
    <row r="14" customFormat="false" ht="12" hidden="false" customHeight="true" outlineLevel="0" collapsed="false">
      <c r="A14" s="16" t="s">
        <v>198</v>
      </c>
      <c r="B14" s="16" t="s">
        <v>199</v>
      </c>
      <c r="C14" s="16" t="s">
        <v>189</v>
      </c>
      <c r="D14" s="29" t="n">
        <v>40250</v>
      </c>
      <c r="E14" s="22" t="n">
        <v>40282</v>
      </c>
      <c r="F14" s="16" t="n">
        <v>584</v>
      </c>
      <c r="G14" s="16" t="s">
        <v>10</v>
      </c>
      <c r="H14" s="13" t="n">
        <v>6</v>
      </c>
      <c r="J14" s="30" t="n">
        <f aca="false">IF(ISBLANK(E14),0,F14)</f>
        <v>584</v>
      </c>
      <c r="K14" s="30" t="n">
        <f aca="false">IF(ISBLANK(E14),0,1)</f>
        <v>1</v>
      </c>
      <c r="L14" s="30" t="str">
        <f aca="false">IF(ISBLANK(E14)," ",B14)</f>
        <v>Kim Stanley Robinson</v>
      </c>
    </row>
    <row r="15" customFormat="false" ht="12" hidden="false" customHeight="true" outlineLevel="0" collapsed="false">
      <c r="A15" s="16" t="s">
        <v>200</v>
      </c>
      <c r="B15" s="16" t="s">
        <v>201</v>
      </c>
      <c r="C15" s="16" t="s">
        <v>189</v>
      </c>
      <c r="D15" s="29" t="n">
        <v>40252</v>
      </c>
      <c r="E15" s="22" t="n">
        <v>40260</v>
      </c>
      <c r="F15" s="16" t="n">
        <v>247</v>
      </c>
      <c r="G15" s="16" t="s">
        <v>202</v>
      </c>
      <c r="H15" s="13" t="n">
        <v>8</v>
      </c>
      <c r="J15" s="30" t="n">
        <f aca="false">IF(ISBLANK(E15),0,F15)</f>
        <v>247</v>
      </c>
      <c r="K15" s="30" t="n">
        <f aca="false">IF(ISBLANK(E15),0,1)</f>
        <v>1</v>
      </c>
      <c r="L15" s="30" t="str">
        <f aca="false">IF(ISBLANK(E15)," ",B15)</f>
        <v>Marvin Harris</v>
      </c>
    </row>
    <row r="16" customFormat="false" ht="12" hidden="false" customHeight="true" outlineLevel="0" collapsed="false">
      <c r="A16" s="16" t="s">
        <v>203</v>
      </c>
      <c r="B16" s="16" t="s">
        <v>204</v>
      </c>
      <c r="C16" s="16" t="s">
        <v>189</v>
      </c>
      <c r="D16" s="29" t="n">
        <v>40257</v>
      </c>
      <c r="E16" s="22" t="n">
        <v>40288</v>
      </c>
      <c r="F16" s="16" t="n">
        <v>192</v>
      </c>
      <c r="G16" s="16" t="s">
        <v>58</v>
      </c>
      <c r="H16" s="13" t="n">
        <v>8</v>
      </c>
      <c r="J16" s="30" t="n">
        <f aca="false">IF(ISBLANK(E16),0,F16)</f>
        <v>192</v>
      </c>
      <c r="K16" s="30" t="n">
        <f aca="false">IF(ISBLANK(E16),0,1)</f>
        <v>1</v>
      </c>
      <c r="L16" s="30" t="str">
        <f aca="false">IF(ISBLANK(E16)," ",B16)</f>
        <v>Pierre Vilar</v>
      </c>
    </row>
    <row r="17" customFormat="false" ht="12" hidden="false" customHeight="true" outlineLevel="0" collapsed="false">
      <c r="A17" s="16" t="s">
        <v>205</v>
      </c>
      <c r="B17" s="16" t="s">
        <v>206</v>
      </c>
      <c r="C17" s="16" t="s">
        <v>189</v>
      </c>
      <c r="D17" s="29" t="n">
        <v>40257</v>
      </c>
      <c r="E17" s="22" t="n">
        <v>40260</v>
      </c>
      <c r="F17" s="16" t="n">
        <v>144</v>
      </c>
      <c r="G17" s="16" t="s">
        <v>10</v>
      </c>
      <c r="H17" s="13" t="n">
        <v>6</v>
      </c>
      <c r="J17" s="30" t="n">
        <f aca="false">IF(ISBLANK(E17),0,F17)</f>
        <v>144</v>
      </c>
      <c r="K17" s="30" t="n">
        <f aca="false">IF(ISBLANK(E17),0,1)</f>
        <v>1</v>
      </c>
      <c r="L17" s="30" t="str">
        <f aca="false">IF(ISBLANK(E17)," ",B17)</f>
        <v>Miguel de Unamuno</v>
      </c>
    </row>
    <row r="18" customFormat="false" ht="12" hidden="false" customHeight="true" outlineLevel="0" collapsed="false">
      <c r="A18" s="16" t="s">
        <v>207</v>
      </c>
      <c r="B18" s="16" t="s">
        <v>208</v>
      </c>
      <c r="C18" s="16" t="s">
        <v>189</v>
      </c>
      <c r="D18" s="29" t="n">
        <v>40270</v>
      </c>
      <c r="E18" s="22" t="n">
        <v>40310</v>
      </c>
      <c r="F18" s="16" t="n">
        <v>972</v>
      </c>
      <c r="G18" s="16" t="s">
        <v>10</v>
      </c>
      <c r="H18" s="13" t="n">
        <v>8</v>
      </c>
      <c r="J18" s="30" t="n">
        <f aca="false">IF(ISBLANK(E18),0,F18)</f>
        <v>972</v>
      </c>
      <c r="K18" s="30" t="n">
        <f aca="false">IF(ISBLANK(E18),0,1)</f>
        <v>1</v>
      </c>
      <c r="L18" s="30" t="str">
        <f aca="false">IF(ISBLANK(E18)," ",B18)</f>
        <v>Neal Stephenson</v>
      </c>
    </row>
    <row r="19" customFormat="false" ht="12" hidden="false" customHeight="true" outlineLevel="0" collapsed="false">
      <c r="A19" s="16" t="s">
        <v>209</v>
      </c>
      <c r="B19" s="16" t="s">
        <v>210</v>
      </c>
      <c r="C19" s="16" t="s">
        <v>33</v>
      </c>
      <c r="D19" s="29" t="n">
        <v>40271</v>
      </c>
      <c r="E19" s="22" t="n">
        <v>40304</v>
      </c>
      <c r="F19" s="16" t="n">
        <v>420</v>
      </c>
      <c r="G19" s="16" t="s">
        <v>24</v>
      </c>
      <c r="H19" s="13" t="n">
        <v>6</v>
      </c>
      <c r="J19" s="30" t="n">
        <f aca="false">IF(ISBLANK(E19),0,F19)</f>
        <v>420</v>
      </c>
      <c r="K19" s="30" t="n">
        <f aca="false">IF(ISBLANK(E19),0,1)</f>
        <v>1</v>
      </c>
      <c r="L19" s="30" t="str">
        <f aca="false">IF(ISBLANK(E19)," ",B19)</f>
        <v>Eduard Punset</v>
      </c>
    </row>
    <row r="20" customFormat="false" ht="12" hidden="false" customHeight="true" outlineLevel="0" collapsed="false">
      <c r="A20" s="16" t="s">
        <v>211</v>
      </c>
      <c r="B20" s="16" t="s">
        <v>112</v>
      </c>
      <c r="C20" s="16" t="s">
        <v>189</v>
      </c>
      <c r="D20" s="29" t="n">
        <v>40288</v>
      </c>
      <c r="E20" s="22" t="n">
        <v>40298</v>
      </c>
      <c r="F20" s="16" t="n">
        <v>904</v>
      </c>
      <c r="G20" s="16" t="s">
        <v>58</v>
      </c>
      <c r="H20" s="13" t="n">
        <v>8</v>
      </c>
      <c r="J20" s="30" t="n">
        <f aca="false">IF(ISBLANK(E20),0,F20)</f>
        <v>904</v>
      </c>
      <c r="K20" s="30" t="n">
        <f aca="false">IF(ISBLANK(E20),0,1)</f>
        <v>1</v>
      </c>
      <c r="L20" s="30" t="str">
        <f aca="false">IF(ISBLANK(E20)," ",B20)</f>
        <v>Antony Beevor</v>
      </c>
    </row>
    <row r="21" customFormat="false" ht="12" hidden="false" customHeight="true" outlineLevel="0" collapsed="false">
      <c r="A21" s="16" t="s">
        <v>212</v>
      </c>
      <c r="B21" s="16" t="s">
        <v>213</v>
      </c>
      <c r="C21" s="16" t="s">
        <v>189</v>
      </c>
      <c r="D21" s="29" t="n">
        <v>40296</v>
      </c>
      <c r="E21" s="22" t="n">
        <v>40416</v>
      </c>
      <c r="F21" s="16" t="n">
        <v>192</v>
      </c>
      <c r="G21" s="16" t="s">
        <v>58</v>
      </c>
      <c r="H21" s="13" t="n">
        <v>5</v>
      </c>
      <c r="J21" s="30" t="n">
        <f aca="false">IF(ISBLANK(E21),0,F21)</f>
        <v>192</v>
      </c>
      <c r="K21" s="30" t="n">
        <f aca="false">IF(ISBLANK(E21),0,1)</f>
        <v>1</v>
      </c>
      <c r="L21" s="30" t="str">
        <f aca="false">IF(ISBLANK(E21)," ",B21)</f>
        <v>Jeremy Taylor</v>
      </c>
    </row>
    <row r="22" customFormat="false" ht="12" hidden="false" customHeight="true" outlineLevel="0" collapsed="false">
      <c r="A22" s="16" t="s">
        <v>214</v>
      </c>
      <c r="B22" s="16" t="s">
        <v>201</v>
      </c>
      <c r="C22" s="16" t="s">
        <v>189</v>
      </c>
      <c r="D22" s="29" t="n">
        <v>40298</v>
      </c>
      <c r="E22" s="22" t="n">
        <v>40312</v>
      </c>
      <c r="F22" s="16" t="n">
        <v>530</v>
      </c>
      <c r="G22" s="16" t="s">
        <v>202</v>
      </c>
      <c r="H22" s="13" t="n">
        <v>7</v>
      </c>
      <c r="J22" s="30" t="n">
        <f aca="false">IF(ISBLANK(E22),0,F22)</f>
        <v>530</v>
      </c>
      <c r="K22" s="30" t="n">
        <f aca="false">IF(ISBLANK(E22),0,1)</f>
        <v>1</v>
      </c>
      <c r="L22" s="30" t="str">
        <f aca="false">IF(ISBLANK(E22)," ",B22)</f>
        <v>Marvin Harris</v>
      </c>
    </row>
    <row r="23" customFormat="false" ht="12" hidden="false" customHeight="true" outlineLevel="0" collapsed="false">
      <c r="A23" s="16" t="s">
        <v>215</v>
      </c>
      <c r="B23" s="16" t="s">
        <v>158</v>
      </c>
      <c r="C23" s="16" t="s">
        <v>33</v>
      </c>
      <c r="D23" s="29" t="n">
        <v>40299</v>
      </c>
      <c r="E23" s="22" t="n">
        <v>40301</v>
      </c>
      <c r="F23" s="16" t="n">
        <v>192</v>
      </c>
      <c r="G23" s="16" t="s">
        <v>10</v>
      </c>
      <c r="H23" s="13" t="n">
        <v>8</v>
      </c>
      <c r="J23" s="30" t="n">
        <f aca="false">IF(ISBLANK(E23),0,F23)</f>
        <v>192</v>
      </c>
      <c r="K23" s="30" t="n">
        <f aca="false">IF(ISBLANK(E23),0,1)</f>
        <v>1</v>
      </c>
      <c r="L23" s="30" t="str">
        <f aca="false">IF(ISBLANK(E23)," ",B23)</f>
        <v>Roberto Bolaño</v>
      </c>
    </row>
    <row r="24" customFormat="false" ht="12" hidden="false" customHeight="true" outlineLevel="0" collapsed="false">
      <c r="A24" s="16" t="s">
        <v>216</v>
      </c>
      <c r="B24" s="16" t="s">
        <v>217</v>
      </c>
      <c r="C24" s="16" t="s">
        <v>189</v>
      </c>
      <c r="D24" s="29" t="n">
        <v>40308</v>
      </c>
      <c r="E24" s="22" t="n">
        <v>40316</v>
      </c>
      <c r="F24" s="16" t="n">
        <v>272</v>
      </c>
      <c r="G24" s="16" t="s">
        <v>218</v>
      </c>
      <c r="H24" s="13" t="n">
        <v>8</v>
      </c>
      <c r="J24" s="30" t="n">
        <f aca="false">IF(ISBLANK(E24),0,F24)</f>
        <v>272</v>
      </c>
      <c r="K24" s="30" t="n">
        <f aca="false">IF(ISBLANK(E24),0,1)</f>
        <v>1</v>
      </c>
      <c r="L24" s="30" t="str">
        <f aca="false">IF(ISBLANK(E24)," ",B24)</f>
        <v>Jordi Sierra i Fabra</v>
      </c>
    </row>
    <row r="25" customFormat="false" ht="12" hidden="false" customHeight="true" outlineLevel="0" collapsed="false">
      <c r="A25" s="16" t="s">
        <v>219</v>
      </c>
      <c r="B25" s="16" t="s">
        <v>112</v>
      </c>
      <c r="C25" s="16" t="s">
        <v>189</v>
      </c>
      <c r="D25" s="29" t="n">
        <v>40316</v>
      </c>
      <c r="E25" s="22" t="n">
        <v>40329</v>
      </c>
      <c r="F25" s="16" t="n">
        <v>452</v>
      </c>
      <c r="G25" s="16" t="s">
        <v>58</v>
      </c>
      <c r="H25" s="13" t="n">
        <v>7</v>
      </c>
      <c r="J25" s="30" t="n">
        <f aca="false">IF(ISBLANK(E25),0,F25)</f>
        <v>452</v>
      </c>
      <c r="K25" s="30" t="n">
        <f aca="false">IF(ISBLANK(E25),0,1)</f>
        <v>1</v>
      </c>
      <c r="L25" s="30" t="str">
        <f aca="false">IF(ISBLANK(E25)," ",B25)</f>
        <v>Antony Beevor</v>
      </c>
    </row>
    <row r="26" customFormat="false" ht="12" hidden="false" customHeight="true" outlineLevel="0" collapsed="false">
      <c r="A26" s="16" t="s">
        <v>220</v>
      </c>
      <c r="B26" s="16" t="s">
        <v>221</v>
      </c>
      <c r="C26" s="16" t="s">
        <v>33</v>
      </c>
      <c r="D26" s="29" t="n">
        <v>40322</v>
      </c>
      <c r="E26" s="22" t="n">
        <v>40357</v>
      </c>
      <c r="F26" s="16" t="n">
        <v>696</v>
      </c>
      <c r="G26" s="16" t="s">
        <v>58</v>
      </c>
      <c r="H26" s="13" t="n">
        <v>6</v>
      </c>
      <c r="J26" s="30" t="n">
        <f aca="false">IF(ISBLANK(E26),0,F26)</f>
        <v>696</v>
      </c>
      <c r="K26" s="30" t="n">
        <f aca="false">IF(ISBLANK(E26),0,1)</f>
        <v>1</v>
      </c>
      <c r="L26" s="30" t="str">
        <f aca="false">IF(ISBLANK(E26)," ",B26)</f>
        <v>Jesús Hernández</v>
      </c>
    </row>
    <row r="27" customFormat="false" ht="12" hidden="false" customHeight="true" outlineLevel="0" collapsed="false">
      <c r="A27" s="16" t="s">
        <v>222</v>
      </c>
      <c r="B27" s="16" t="s">
        <v>112</v>
      </c>
      <c r="C27" s="16" t="s">
        <v>189</v>
      </c>
      <c r="D27" s="29" t="n">
        <v>40330</v>
      </c>
      <c r="E27" s="22" t="n">
        <v>40369</v>
      </c>
      <c r="F27" s="16" t="n">
        <v>552</v>
      </c>
      <c r="G27" s="16" t="s">
        <v>58</v>
      </c>
      <c r="H27" s="13" t="n">
        <v>8</v>
      </c>
      <c r="J27" s="30" t="n">
        <f aca="false">IF(ISBLANK(E27),0,F27)</f>
        <v>552</v>
      </c>
      <c r="K27" s="30" t="n">
        <f aca="false">IF(ISBLANK(E27),0,1)</f>
        <v>1</v>
      </c>
      <c r="L27" s="30" t="str">
        <f aca="false">IF(ISBLANK(E27)," ",B27)</f>
        <v>Antony Beevor</v>
      </c>
    </row>
    <row r="28" customFormat="false" ht="12" hidden="false" customHeight="true" outlineLevel="0" collapsed="false">
      <c r="A28" s="16" t="s">
        <v>223</v>
      </c>
      <c r="B28" s="16" t="s">
        <v>224</v>
      </c>
      <c r="C28" s="16" t="s">
        <v>189</v>
      </c>
      <c r="D28" s="29" t="n">
        <v>40331</v>
      </c>
      <c r="E28" s="22" t="n">
        <v>40374</v>
      </c>
      <c r="F28" s="16" t="n">
        <v>544</v>
      </c>
      <c r="G28" s="16" t="s">
        <v>10</v>
      </c>
      <c r="H28" s="13" t="n">
        <v>6</v>
      </c>
      <c r="J28" s="30" t="n">
        <f aca="false">IF(ISBLANK(E28),0,F28)</f>
        <v>544</v>
      </c>
      <c r="K28" s="30" t="n">
        <f aca="false">IF(ISBLANK(E28),0,1)</f>
        <v>1</v>
      </c>
      <c r="L28" s="30" t="str">
        <f aca="false">IF(ISBLANK(E28)," ",B28)</f>
        <v>Jack du Brul</v>
      </c>
    </row>
    <row r="29" customFormat="false" ht="12" hidden="false" customHeight="true" outlineLevel="0" collapsed="false">
      <c r="A29" s="16" t="s">
        <v>225</v>
      </c>
      <c r="B29" s="16" t="s">
        <v>226</v>
      </c>
      <c r="C29" s="16" t="s">
        <v>33</v>
      </c>
      <c r="D29" s="29" t="n">
        <v>40332</v>
      </c>
      <c r="E29" s="22" t="n">
        <v>40334</v>
      </c>
      <c r="F29" s="16" t="n">
        <v>464</v>
      </c>
      <c r="G29" s="16" t="s">
        <v>24</v>
      </c>
      <c r="H29" s="13" t="n">
        <v>9</v>
      </c>
      <c r="J29" s="30" t="n">
        <f aca="false">IF(ISBLANK(E29),0,F29)</f>
        <v>464</v>
      </c>
      <c r="K29" s="30" t="n">
        <f aca="false">IF(ISBLANK(E29),0,1)</f>
        <v>1</v>
      </c>
      <c r="L29" s="30" t="str">
        <f aca="false">IF(ISBLANK(E29)," ",B29)</f>
        <v>Max Brooks</v>
      </c>
    </row>
    <row r="30" customFormat="false" ht="12" hidden="false" customHeight="true" outlineLevel="0" collapsed="false">
      <c r="A30" s="16" t="s">
        <v>227</v>
      </c>
      <c r="B30" s="16" t="s">
        <v>174</v>
      </c>
      <c r="C30" s="16" t="s">
        <v>33</v>
      </c>
      <c r="D30" s="29" t="n">
        <v>40355</v>
      </c>
      <c r="E30" s="22" t="n">
        <v>40372</v>
      </c>
      <c r="F30" s="16" t="n">
        <v>199</v>
      </c>
      <c r="G30" s="16" t="s">
        <v>10</v>
      </c>
      <c r="H30" s="13" t="n">
        <v>6</v>
      </c>
      <c r="J30" s="30" t="n">
        <f aca="false">IF(ISBLANK(E30),0,F30)</f>
        <v>199</v>
      </c>
      <c r="K30" s="30" t="n">
        <f aca="false">IF(ISBLANK(E30),0,1)</f>
        <v>1</v>
      </c>
      <c r="L30" s="30" t="str">
        <f aca="false">IF(ISBLANK(E30)," ",B30)</f>
        <v>Chuck Palahniuk</v>
      </c>
    </row>
    <row r="31" customFormat="false" ht="12" hidden="false" customHeight="true" outlineLevel="0" collapsed="false">
      <c r="A31" s="16" t="s">
        <v>228</v>
      </c>
      <c r="B31" s="16" t="s">
        <v>229</v>
      </c>
      <c r="C31" s="16" t="s">
        <v>189</v>
      </c>
      <c r="D31" s="29" t="n">
        <v>40369</v>
      </c>
      <c r="E31" s="22" t="n">
        <v>40371</v>
      </c>
      <c r="F31" s="16" t="n">
        <v>192</v>
      </c>
      <c r="G31" s="16" t="s">
        <v>10</v>
      </c>
      <c r="H31" s="13" t="n">
        <v>9</v>
      </c>
      <c r="J31" s="30" t="n">
        <f aca="false">IF(ISBLANK(E31),0,F31)</f>
        <v>192</v>
      </c>
      <c r="K31" s="30" t="n">
        <f aca="false">IF(ISBLANK(E31),0,1)</f>
        <v>1</v>
      </c>
      <c r="L31" s="30" t="str">
        <f aca="false">IF(ISBLANK(E31)," ",B31)</f>
        <v>Gonzalo Torrente Ballester</v>
      </c>
    </row>
    <row r="32" s="16" customFormat="true" ht="12" hidden="false" customHeight="true" outlineLevel="0" collapsed="false">
      <c r="A32" s="16" t="s">
        <v>230</v>
      </c>
      <c r="B32" s="16" t="s">
        <v>161</v>
      </c>
      <c r="C32" s="16" t="s">
        <v>189</v>
      </c>
      <c r="D32" s="29" t="n">
        <v>40371</v>
      </c>
      <c r="E32" s="22" t="n">
        <v>40409</v>
      </c>
      <c r="F32" s="16" t="n">
        <v>454</v>
      </c>
      <c r="G32" s="16" t="s">
        <v>58</v>
      </c>
      <c r="H32" s="13" t="n">
        <v>6</v>
      </c>
      <c r="J32" s="30" t="n">
        <f aca="false">IF(ISBLANK(E32),0,F32)</f>
        <v>454</v>
      </c>
      <c r="K32" s="30" t="n">
        <f aca="false">IF(ISBLANK(E32),0,1)</f>
        <v>1</v>
      </c>
      <c r="L32" s="30" t="str">
        <f aca="false">IF(ISBLANK(E32)," ",B32)</f>
        <v>Indro Montanelli</v>
      </c>
    </row>
    <row r="33" customFormat="false" ht="12" hidden="false" customHeight="true" outlineLevel="0" collapsed="false">
      <c r="A33" s="16" t="s">
        <v>231</v>
      </c>
      <c r="B33" s="16" t="s">
        <v>191</v>
      </c>
      <c r="C33" s="16" t="s">
        <v>189</v>
      </c>
      <c r="D33" s="29" t="n">
        <v>40374</v>
      </c>
      <c r="E33" s="22" t="n">
        <v>40388</v>
      </c>
      <c r="F33" s="16" t="n">
        <v>224</v>
      </c>
      <c r="G33" s="16" t="s">
        <v>10</v>
      </c>
      <c r="H33" s="13" t="n">
        <v>7</v>
      </c>
      <c r="J33" s="30" t="n">
        <f aca="false">IF(ISBLANK(E33),0,F33)</f>
        <v>224</v>
      </c>
      <c r="K33" s="30" t="n">
        <f aca="false">IF(ISBLANK(E33),0,1)</f>
        <v>1</v>
      </c>
      <c r="L33" s="30" t="str">
        <f aca="false">IF(ISBLANK(E33)," ",B33)</f>
        <v>Cormac McCarthy</v>
      </c>
    </row>
    <row r="34" customFormat="false" ht="12" hidden="false" customHeight="true" outlineLevel="0" collapsed="false">
      <c r="A34" s="16" t="s">
        <v>232</v>
      </c>
      <c r="B34" s="16" t="s">
        <v>233</v>
      </c>
      <c r="C34" s="16" t="s">
        <v>189</v>
      </c>
      <c r="D34" s="29" t="n">
        <v>40377</v>
      </c>
      <c r="E34" s="22" t="n">
        <v>40381</v>
      </c>
      <c r="F34" s="16" t="n">
        <v>240</v>
      </c>
      <c r="G34" s="16" t="s">
        <v>10</v>
      </c>
      <c r="H34" s="13" t="n">
        <v>7</v>
      </c>
      <c r="J34" s="30" t="n">
        <f aca="false">IF(ISBLANK(E34),0,F34)</f>
        <v>240</v>
      </c>
      <c r="K34" s="30" t="n">
        <f aca="false">IF(ISBLANK(E34),0,1)</f>
        <v>1</v>
      </c>
      <c r="L34" s="30" t="str">
        <f aca="false">IF(ISBLANK(E34)," ",B34)</f>
        <v>Stanislaw Lem</v>
      </c>
    </row>
    <row r="35" customFormat="false" ht="12" hidden="false" customHeight="true" outlineLevel="0" collapsed="false">
      <c r="A35" s="16" t="s">
        <v>234</v>
      </c>
      <c r="B35" s="16" t="s">
        <v>199</v>
      </c>
      <c r="C35" s="16" t="s">
        <v>189</v>
      </c>
      <c r="D35" s="29" t="n">
        <v>40385</v>
      </c>
      <c r="E35" s="22" t="n">
        <v>40434</v>
      </c>
      <c r="F35" s="16" t="n">
        <v>652</v>
      </c>
      <c r="G35" s="16" t="s">
        <v>10</v>
      </c>
      <c r="H35" s="13" t="n">
        <v>7.5</v>
      </c>
      <c r="J35" s="30" t="n">
        <f aca="false">IF(ISBLANK(E35),0,F35)</f>
        <v>652</v>
      </c>
      <c r="K35" s="30" t="n">
        <f aca="false">IF(ISBLANK(E35),0,1)</f>
        <v>1</v>
      </c>
      <c r="L35" s="30" t="str">
        <f aca="false">IF(ISBLANK(E35)," ",B35)</f>
        <v>Kim Stanley Robinson</v>
      </c>
    </row>
    <row r="36" customFormat="false" ht="12" hidden="false" customHeight="true" outlineLevel="0" collapsed="false">
      <c r="A36" s="16" t="s">
        <v>203</v>
      </c>
      <c r="B36" s="16" t="s">
        <v>235</v>
      </c>
      <c r="C36" s="16" t="s">
        <v>33</v>
      </c>
      <c r="D36" s="29" t="n">
        <v>40390</v>
      </c>
      <c r="E36" s="22" t="n">
        <v>40394</v>
      </c>
      <c r="F36" s="16" t="n">
        <v>336</v>
      </c>
      <c r="G36" s="16" t="s">
        <v>58</v>
      </c>
      <c r="H36" s="13" t="n">
        <v>8</v>
      </c>
      <c r="J36" s="30" t="n">
        <f aca="false">IF(ISBLANK(E36),0,F36)</f>
        <v>336</v>
      </c>
      <c r="K36" s="30" t="n">
        <f aca="false">IF(ISBLANK(E36),0,1)</f>
        <v>1</v>
      </c>
      <c r="L36" s="30" t="str">
        <f aca="false">IF(ISBLANK(E36)," ",B36)</f>
        <v>Raymond Carr </v>
      </c>
    </row>
    <row r="37" customFormat="false" ht="12" hidden="false" customHeight="true" outlineLevel="0" collapsed="false">
      <c r="A37" s="16" t="s">
        <v>236</v>
      </c>
      <c r="B37" s="16" t="s">
        <v>115</v>
      </c>
      <c r="C37" s="16" t="s">
        <v>33</v>
      </c>
      <c r="D37" s="29" t="n">
        <v>40394</v>
      </c>
      <c r="E37" s="22" t="n">
        <v>40405</v>
      </c>
      <c r="F37" s="16" t="n">
        <v>440</v>
      </c>
      <c r="G37" s="16" t="s">
        <v>58</v>
      </c>
      <c r="H37" s="13" t="n">
        <v>8</v>
      </c>
      <c r="J37" s="30" t="n">
        <f aca="false">IF(ISBLANK(E37),0,F37)</f>
        <v>440</v>
      </c>
      <c r="K37" s="30" t="n">
        <f aca="false">IF(ISBLANK(E37),0,1)</f>
        <v>1</v>
      </c>
      <c r="L37" s="30" t="str">
        <f aca="false">IF(ISBLANK(E37)," ",B37)</f>
        <v>J.H. Elliott</v>
      </c>
    </row>
    <row r="38" customFormat="false" ht="12" hidden="false" customHeight="true" outlineLevel="0" collapsed="false">
      <c r="A38" s="6" t="s">
        <v>237</v>
      </c>
      <c r="B38" s="16" t="s">
        <v>238</v>
      </c>
      <c r="C38" s="16" t="s">
        <v>189</v>
      </c>
      <c r="D38" s="22" t="n">
        <v>40406</v>
      </c>
      <c r="E38" s="22" t="n">
        <v>40413</v>
      </c>
      <c r="F38" s="16" t="n">
        <v>355</v>
      </c>
      <c r="G38" s="16" t="s">
        <v>10</v>
      </c>
      <c r="H38" s="13" t="n">
        <v>7</v>
      </c>
      <c r="J38" s="30" t="n">
        <f aca="false">IF(ISBLANK(E38),0,F38)</f>
        <v>355</v>
      </c>
      <c r="K38" s="30" t="n">
        <f aca="false">IF(ISBLANK(E38),0,1)</f>
        <v>1</v>
      </c>
      <c r="L38" s="30" t="str">
        <f aca="false">IF(ISBLANK(E38)," ",B38)</f>
        <v>William Faulkner</v>
      </c>
    </row>
    <row r="39" customFormat="false" ht="12" hidden="false" customHeight="true" outlineLevel="0" collapsed="false">
      <c r="A39" s="6" t="s">
        <v>239</v>
      </c>
      <c r="B39" s="16" t="s">
        <v>240</v>
      </c>
      <c r="C39" s="16" t="s">
        <v>189</v>
      </c>
      <c r="D39" s="22" t="n">
        <v>40410</v>
      </c>
      <c r="E39" s="22" t="n">
        <v>40438</v>
      </c>
      <c r="F39" s="16" t="n">
        <v>400</v>
      </c>
      <c r="G39" s="16" t="s">
        <v>24</v>
      </c>
      <c r="H39" s="13" t="n">
        <v>5</v>
      </c>
      <c r="J39" s="30" t="n">
        <f aca="false">IF(ISBLANK(E39),0,F39)</f>
        <v>400</v>
      </c>
      <c r="K39" s="30" t="n">
        <f aca="false">IF(ISBLANK(E39),0,1)</f>
        <v>1</v>
      </c>
      <c r="L39" s="30" t="str">
        <f aca="false">IF(ISBLANK(E39)," ",B39)</f>
        <v>Martin Gardner</v>
      </c>
    </row>
    <row r="40" customFormat="false" ht="12" hidden="false" customHeight="true" outlineLevel="0" collapsed="false">
      <c r="A40" s="6" t="s">
        <v>241</v>
      </c>
      <c r="B40" s="16" t="s">
        <v>242</v>
      </c>
      <c r="C40" s="16" t="s">
        <v>243</v>
      </c>
      <c r="D40" s="22" t="n">
        <v>40417</v>
      </c>
      <c r="E40" s="22" t="n">
        <v>40419</v>
      </c>
      <c r="F40" s="16" t="n">
        <v>121</v>
      </c>
      <c r="G40" s="16" t="s">
        <v>10</v>
      </c>
      <c r="H40" s="9" t="n">
        <v>6</v>
      </c>
      <c r="J40" s="30" t="n">
        <f aca="false">IF(ISBLANK(E40),0,F40)</f>
        <v>121</v>
      </c>
      <c r="K40" s="30" t="n">
        <f aca="false">IF(ISBLANK(E40),0,1)</f>
        <v>1</v>
      </c>
      <c r="L40" s="30" t="str">
        <f aca="false">IF(ISBLANK(E40)," ",B40)</f>
        <v>Fernando Vallejo</v>
      </c>
    </row>
    <row r="41" customFormat="false" ht="12" hidden="false" customHeight="true" outlineLevel="0" collapsed="false">
      <c r="A41" s="6" t="s">
        <v>244</v>
      </c>
      <c r="B41" s="16" t="s">
        <v>245</v>
      </c>
      <c r="C41" s="16" t="s">
        <v>189</v>
      </c>
      <c r="D41" s="22" t="n">
        <v>40419</v>
      </c>
      <c r="E41" s="22" t="n">
        <v>40422</v>
      </c>
      <c r="F41" s="16" t="n">
        <v>240</v>
      </c>
      <c r="G41" s="16" t="s">
        <v>58</v>
      </c>
      <c r="H41" s="9" t="n">
        <v>6</v>
      </c>
      <c r="J41" s="30" t="n">
        <f aca="false">IF(ISBLANK(E41),0,F41)</f>
        <v>240</v>
      </c>
      <c r="K41" s="30" t="n">
        <f aca="false">IF(ISBLANK(E41),0,1)</f>
        <v>1</v>
      </c>
      <c r="L41" s="30" t="str">
        <f aca="false">IF(ISBLANK(E41)," ",B41)</f>
        <v>Stefan Zweig</v>
      </c>
    </row>
    <row r="42" customFormat="false" ht="12" hidden="false" customHeight="true" outlineLevel="0" collapsed="false">
      <c r="A42" s="6" t="s">
        <v>246</v>
      </c>
      <c r="B42" s="6" t="s">
        <v>247</v>
      </c>
      <c r="C42" s="16" t="s">
        <v>189</v>
      </c>
      <c r="D42" s="22" t="n">
        <v>40432</v>
      </c>
      <c r="E42" s="22" t="n">
        <v>40437</v>
      </c>
      <c r="F42" s="16" t="n">
        <v>368</v>
      </c>
      <c r="G42" s="16" t="s">
        <v>58</v>
      </c>
      <c r="H42" s="9" t="n">
        <v>6</v>
      </c>
      <c r="J42" s="30" t="n">
        <f aca="false">IF(ISBLANK(E42),0,F42)</f>
        <v>368</v>
      </c>
      <c r="K42" s="30" t="n">
        <f aca="false">IF(ISBLANK(E42),0,1)</f>
        <v>1</v>
      </c>
      <c r="L42" s="30" t="str">
        <f aca="false">IF(ISBLANK(E42)," ",B42)</f>
        <v>Roger Collins</v>
      </c>
    </row>
    <row r="43" customFormat="false" ht="12" hidden="false" customHeight="true" outlineLevel="0" collapsed="false">
      <c r="A43" s="6" t="s">
        <v>248</v>
      </c>
      <c r="B43" s="6" t="s">
        <v>158</v>
      </c>
      <c r="C43" s="16" t="s">
        <v>189</v>
      </c>
      <c r="D43" s="22" t="n">
        <v>40443</v>
      </c>
      <c r="E43" s="22" t="n">
        <v>40448</v>
      </c>
      <c r="F43" s="16" t="n">
        <v>225</v>
      </c>
      <c r="G43" s="16" t="s">
        <v>249</v>
      </c>
      <c r="H43" s="9" t="n">
        <v>7</v>
      </c>
      <c r="J43" s="30" t="n">
        <f aca="false">IF(ISBLANK(E43),0,F43)</f>
        <v>225</v>
      </c>
      <c r="K43" s="30" t="n">
        <f aca="false">IF(ISBLANK(E43),0,1)</f>
        <v>1</v>
      </c>
      <c r="L43" s="30" t="str">
        <f aca="false">IF(ISBLANK(E43)," ",B43)</f>
        <v>Roberto Bolaño</v>
      </c>
    </row>
    <row r="44" customFormat="false" ht="12" hidden="false" customHeight="true" outlineLevel="0" collapsed="false">
      <c r="A44" s="6" t="s">
        <v>250</v>
      </c>
      <c r="B44" s="6" t="s">
        <v>251</v>
      </c>
      <c r="C44" s="16" t="s">
        <v>189</v>
      </c>
      <c r="D44" s="22" t="n">
        <v>40448</v>
      </c>
      <c r="E44" s="22" t="n">
        <v>40454</v>
      </c>
      <c r="F44" s="16" t="n">
        <v>228</v>
      </c>
      <c r="G44" s="16" t="s">
        <v>58</v>
      </c>
      <c r="H44" s="9" t="n">
        <v>6</v>
      </c>
      <c r="J44" s="30" t="n">
        <f aca="false">IF(ISBLANK(E44),0,F44)</f>
        <v>228</v>
      </c>
      <c r="K44" s="30" t="n">
        <f aca="false">IF(ISBLANK(E44),0,1)</f>
        <v>1</v>
      </c>
      <c r="L44" s="30" t="str">
        <f aca="false">IF(ISBLANK(E44)," ",B44)</f>
        <v>Pablo Victoria</v>
      </c>
    </row>
    <row r="45" customFormat="false" ht="12" hidden="false" customHeight="true" outlineLevel="0" collapsed="false">
      <c r="A45" s="6" t="s">
        <v>252</v>
      </c>
      <c r="B45" s="6" t="s">
        <v>253</v>
      </c>
      <c r="C45" s="16" t="s">
        <v>189</v>
      </c>
      <c r="D45" s="22" t="n">
        <v>40455</v>
      </c>
      <c r="E45" s="22" t="n">
        <v>40465</v>
      </c>
      <c r="F45" s="16" t="n">
        <v>368</v>
      </c>
      <c r="G45" s="16" t="s">
        <v>24</v>
      </c>
      <c r="H45" s="9" t="n">
        <v>8.5</v>
      </c>
      <c r="J45" s="30" t="n">
        <f aca="false">IF(ISBLANK(E45),0,F45)</f>
        <v>368</v>
      </c>
      <c r="K45" s="30" t="n">
        <f aca="false">IF(ISBLANK(E45),0,1)</f>
        <v>1</v>
      </c>
      <c r="L45" s="30" t="str">
        <f aca="false">IF(ISBLANK(E45)," ",B45)</f>
        <v>Carl Sagan</v>
      </c>
    </row>
    <row r="46" customFormat="false" ht="12" hidden="false" customHeight="true" outlineLevel="0" collapsed="false">
      <c r="A46" s="6" t="s">
        <v>254</v>
      </c>
      <c r="B46" s="6" t="s">
        <v>255</v>
      </c>
      <c r="C46" s="16" t="s">
        <v>189</v>
      </c>
      <c r="D46" s="22" t="n">
        <v>40461</v>
      </c>
      <c r="E46" s="22" t="n">
        <v>40461</v>
      </c>
      <c r="F46" s="16" t="n">
        <v>106</v>
      </c>
      <c r="G46" s="16" t="s">
        <v>249</v>
      </c>
      <c r="H46" s="9" t="n">
        <v>5</v>
      </c>
      <c r="J46" s="30" t="n">
        <f aca="false">IF(ISBLANK(E46),0,F46)</f>
        <v>106</v>
      </c>
      <c r="K46" s="30" t="n">
        <f aca="false">IF(ISBLANK(E46),0,1)</f>
        <v>1</v>
      </c>
      <c r="L46" s="30" t="str">
        <f aca="false">IF(ISBLANK(E46)," ",B46)</f>
        <v>Antonio Luque</v>
      </c>
    </row>
    <row r="47" customFormat="false" ht="12" hidden="false" customHeight="true" outlineLevel="0" collapsed="false">
      <c r="A47" s="6" t="s">
        <v>256</v>
      </c>
      <c r="B47" s="6" t="s">
        <v>257</v>
      </c>
      <c r="C47" s="16" t="s">
        <v>189</v>
      </c>
      <c r="D47" s="22" t="n">
        <v>40460</v>
      </c>
      <c r="E47" s="22" t="n">
        <v>40460</v>
      </c>
      <c r="F47" s="16" t="n">
        <v>96</v>
      </c>
      <c r="G47" s="16" t="s">
        <v>172</v>
      </c>
      <c r="H47" s="9" t="n">
        <v>8</v>
      </c>
      <c r="J47" s="30" t="n">
        <f aca="false">IF(ISBLANK(E47),0,F47)</f>
        <v>96</v>
      </c>
      <c r="K47" s="30" t="n">
        <f aca="false">IF(ISBLANK(E47),0,1)</f>
        <v>1</v>
      </c>
      <c r="L47" s="30" t="str">
        <f aca="false">IF(ISBLANK(E47)," ",B47)</f>
        <v>Andy Riley</v>
      </c>
    </row>
    <row r="48" customFormat="false" ht="12" hidden="false" customHeight="true" outlineLevel="0" collapsed="false">
      <c r="A48" s="6" t="s">
        <v>258</v>
      </c>
      <c r="B48" s="6" t="s">
        <v>259</v>
      </c>
      <c r="C48" s="16" t="s">
        <v>189</v>
      </c>
      <c r="D48" s="22" t="n">
        <v>40465</v>
      </c>
      <c r="E48" s="22" t="n">
        <v>40476</v>
      </c>
      <c r="F48" s="16" t="n">
        <v>392</v>
      </c>
      <c r="G48" s="16" t="s">
        <v>10</v>
      </c>
      <c r="H48" s="9" t="n">
        <v>6</v>
      </c>
      <c r="J48" s="30" t="n">
        <f aca="false">IF(ISBLANK(E48),0,F48)</f>
        <v>392</v>
      </c>
      <c r="K48" s="30" t="n">
        <f aca="false">IF(ISBLANK(E48),0,1)</f>
        <v>1</v>
      </c>
      <c r="L48" s="30" t="str">
        <f aca="false">IF(ISBLANK(E48)," ",B48)</f>
        <v>Enrique Vila-Matas</v>
      </c>
    </row>
    <row r="49" customFormat="false" ht="12" hidden="false" customHeight="true" outlineLevel="0" collapsed="false">
      <c r="A49" s="6" t="s">
        <v>260</v>
      </c>
      <c r="B49" s="6" t="s">
        <v>261</v>
      </c>
      <c r="C49" s="16" t="s">
        <v>189</v>
      </c>
      <c r="D49" s="22" t="n">
        <v>40465</v>
      </c>
      <c r="E49" s="22" t="n">
        <v>40493</v>
      </c>
      <c r="F49" s="16" t="n">
        <v>272</v>
      </c>
      <c r="G49" s="16" t="s">
        <v>58</v>
      </c>
      <c r="H49" s="9" t="n">
        <v>6</v>
      </c>
      <c r="J49" s="30" t="n">
        <f aca="false">IF(ISBLANK(E49),0,F49)</f>
        <v>272</v>
      </c>
      <c r="K49" s="30" t="n">
        <f aca="false">IF(ISBLANK(E49),0,1)</f>
        <v>1</v>
      </c>
      <c r="L49" s="30" t="str">
        <f aca="false">IF(ISBLANK(E49)," ",B49)</f>
        <v>Isaac Asimov</v>
      </c>
    </row>
    <row r="50" customFormat="false" ht="12" hidden="false" customHeight="true" outlineLevel="0" collapsed="false">
      <c r="A50" s="6" t="s">
        <v>262</v>
      </c>
      <c r="B50" s="16" t="s">
        <v>63</v>
      </c>
      <c r="C50" s="16" t="s">
        <v>263</v>
      </c>
      <c r="D50" s="22" t="n">
        <v>40476</v>
      </c>
      <c r="E50" s="22" t="n">
        <v>40484</v>
      </c>
      <c r="F50" s="16" t="n">
        <v>310</v>
      </c>
      <c r="G50" s="16" t="s">
        <v>24</v>
      </c>
      <c r="H50" s="9" t="n">
        <v>7</v>
      </c>
      <c r="J50" s="30" t="n">
        <f aca="false">IF(ISBLANK(E50),0,F50)</f>
        <v>310</v>
      </c>
      <c r="K50" s="30" t="n">
        <f aca="false">IF(ISBLANK(E50),0,1)</f>
        <v>1</v>
      </c>
      <c r="L50" s="30" t="str">
        <f aca="false">IF(ISBLANK(E50)," ",B50)</f>
        <v>Oliver Sacks</v>
      </c>
    </row>
    <row r="51" customFormat="false" ht="12" hidden="false" customHeight="true" outlineLevel="0" collapsed="false">
      <c r="A51" s="6" t="s">
        <v>264</v>
      </c>
      <c r="B51" s="16" t="s">
        <v>265</v>
      </c>
      <c r="C51" s="16" t="s">
        <v>189</v>
      </c>
      <c r="D51" s="22" t="n">
        <v>40484</v>
      </c>
      <c r="E51" s="22" t="n">
        <v>40493</v>
      </c>
      <c r="F51" s="16" t="n">
        <v>400</v>
      </c>
      <c r="G51" s="16" t="s">
        <v>10</v>
      </c>
      <c r="H51" s="9" t="n">
        <v>4</v>
      </c>
      <c r="J51" s="30" t="n">
        <f aca="false">IF(ISBLANK(E51),0,F51)</f>
        <v>400</v>
      </c>
      <c r="K51" s="30" t="n">
        <f aca="false">IF(ISBLANK(E51),0,1)</f>
        <v>1</v>
      </c>
      <c r="L51" s="30" t="str">
        <f aca="false">IF(ISBLANK(E51)," ",B51)</f>
        <v>Máximo Gorki</v>
      </c>
    </row>
    <row r="52" customFormat="false" ht="12" hidden="false" customHeight="true" outlineLevel="0" collapsed="false">
      <c r="A52" s="6" t="s">
        <v>266</v>
      </c>
      <c r="B52" s="16" t="s">
        <v>208</v>
      </c>
      <c r="C52" s="16" t="s">
        <v>189</v>
      </c>
      <c r="D52" s="22" t="n">
        <v>40493</v>
      </c>
      <c r="E52" s="22" t="n">
        <v>40505</v>
      </c>
      <c r="F52" s="16" t="n">
        <v>432</v>
      </c>
      <c r="G52" s="16" t="s">
        <v>10</v>
      </c>
      <c r="H52" s="9" t="n">
        <v>9</v>
      </c>
      <c r="J52" s="30" t="n">
        <f aca="false">IF(ISBLANK(E52),0,F52)</f>
        <v>432</v>
      </c>
      <c r="K52" s="30" t="n">
        <f aca="false">IF(ISBLANK(E52),0,1)</f>
        <v>1</v>
      </c>
      <c r="L52" s="30" t="str">
        <f aca="false">IF(ISBLANK(E52)," ",B52)</f>
        <v>Neal Stephenson</v>
      </c>
    </row>
    <row r="53" customFormat="false" ht="12" hidden="false" customHeight="true" outlineLevel="0" collapsed="false">
      <c r="A53" s="6" t="s">
        <v>267</v>
      </c>
      <c r="B53" s="16" t="s">
        <v>161</v>
      </c>
      <c r="C53" s="16" t="s">
        <v>189</v>
      </c>
      <c r="D53" s="22" t="n">
        <v>40496</v>
      </c>
      <c r="E53" s="22" t="n">
        <v>40534</v>
      </c>
      <c r="F53" s="16" t="n">
        <v>464</v>
      </c>
      <c r="G53" s="16" t="s">
        <v>58</v>
      </c>
      <c r="H53" s="9" t="n">
        <v>7</v>
      </c>
      <c r="J53" s="30" t="n">
        <f aca="false">IF(ISBLANK(E53),0,F53)</f>
        <v>464</v>
      </c>
      <c r="K53" s="30" t="n">
        <f aca="false">IF(ISBLANK(E53),0,1)</f>
        <v>1</v>
      </c>
      <c r="L53" s="30" t="str">
        <f aca="false">IF(ISBLANK(E53)," ",B53)</f>
        <v>Indro Montanelli</v>
      </c>
    </row>
    <row r="54" customFormat="false" ht="12" hidden="false" customHeight="true" outlineLevel="0" collapsed="false">
      <c r="A54" s="6" t="s">
        <v>268</v>
      </c>
      <c r="B54" s="16" t="s">
        <v>208</v>
      </c>
      <c r="C54" s="16" t="s">
        <v>189</v>
      </c>
      <c r="D54" s="22" t="n">
        <v>40506</v>
      </c>
      <c r="E54" s="20" t="n">
        <v>40511</v>
      </c>
      <c r="F54" s="16" t="n">
        <v>283</v>
      </c>
      <c r="G54" s="16" t="s">
        <v>10</v>
      </c>
      <c r="H54" s="13" t="n">
        <v>8</v>
      </c>
      <c r="J54" s="30" t="n">
        <f aca="false">IF(ISBLANK(E54),0,F54)</f>
        <v>283</v>
      </c>
      <c r="K54" s="30" t="n">
        <f aca="false">IF(ISBLANK(E54),0,1)</f>
        <v>1</v>
      </c>
      <c r="L54" s="30" t="str">
        <f aca="false">IF(ISBLANK(E54)," ",B54)</f>
        <v>Neal Stephenson</v>
      </c>
    </row>
    <row r="55" customFormat="false" ht="12" hidden="false" customHeight="true" outlineLevel="0" collapsed="false">
      <c r="A55" s="6" t="s">
        <v>269</v>
      </c>
      <c r="B55" s="16" t="s">
        <v>270</v>
      </c>
      <c r="C55" s="16" t="s">
        <v>189</v>
      </c>
      <c r="D55" s="22" t="n">
        <v>40509</v>
      </c>
      <c r="E55" s="20" t="n">
        <v>40541</v>
      </c>
      <c r="F55" s="16" t="n">
        <v>192</v>
      </c>
      <c r="G55" s="16" t="s">
        <v>58</v>
      </c>
      <c r="H55" s="13" t="n">
        <v>6</v>
      </c>
      <c r="J55" s="30" t="n">
        <f aca="false">IF(ISBLANK(E55),0,F55)</f>
        <v>192</v>
      </c>
      <c r="K55" s="30" t="n">
        <f aca="false">IF(ISBLANK(E55),0,1)</f>
        <v>1</v>
      </c>
      <c r="L55" s="30" t="str">
        <f aca="false">IF(ISBLANK(E55)," ",B55)</f>
        <v>Cyril Aldred</v>
      </c>
    </row>
    <row r="56" customFormat="false" ht="12" hidden="false" customHeight="true" outlineLevel="0" collapsed="false">
      <c r="A56" s="6" t="s">
        <v>271</v>
      </c>
      <c r="B56" s="16" t="s">
        <v>272</v>
      </c>
      <c r="C56" s="16" t="s">
        <v>189</v>
      </c>
      <c r="D56" s="22" t="n">
        <v>40509</v>
      </c>
      <c r="E56" s="20" t="n">
        <v>40515</v>
      </c>
      <c r="F56" s="16" t="n">
        <v>370</v>
      </c>
      <c r="G56" s="16" t="s">
        <v>10</v>
      </c>
      <c r="H56" s="13" t="n">
        <v>7</v>
      </c>
      <c r="J56" s="30" t="n">
        <f aca="false">IF(ISBLANK(E56),0,F56)</f>
        <v>370</v>
      </c>
      <c r="K56" s="30" t="n">
        <f aca="false">IF(ISBLANK(E56),0,1)</f>
        <v>1</v>
      </c>
      <c r="L56" s="30" t="str">
        <f aca="false">IF(ISBLANK(E56)," ",B56)</f>
        <v>Lois Mcmaster Bujold</v>
      </c>
    </row>
    <row r="57" customFormat="false" ht="12" hidden="false" customHeight="true" outlineLevel="0" collapsed="false">
      <c r="A57" s="6" t="s">
        <v>273</v>
      </c>
      <c r="B57" s="16" t="s">
        <v>274</v>
      </c>
      <c r="C57" s="16" t="s">
        <v>189</v>
      </c>
      <c r="D57" s="22" t="n">
        <v>40515</v>
      </c>
      <c r="E57" s="20" t="n">
        <v>40533</v>
      </c>
      <c r="F57" s="16" t="n">
        <v>368</v>
      </c>
      <c r="G57" s="16" t="s">
        <v>10</v>
      </c>
      <c r="H57" s="13" t="n">
        <v>8</v>
      </c>
      <c r="J57" s="30" t="n">
        <f aca="false">IF(ISBLANK(E57),0,F57)</f>
        <v>368</v>
      </c>
      <c r="K57" s="30" t="n">
        <f aca="false">IF(ISBLANK(E57),0,1)</f>
        <v>1</v>
      </c>
      <c r="L57" s="30" t="str">
        <f aca="false">IF(ISBLANK(E57)," ",B57)</f>
        <v>Jack Kerouac</v>
      </c>
    </row>
    <row r="58" customFormat="false" ht="12" hidden="false" customHeight="true" outlineLevel="0" collapsed="false">
      <c r="F58" s="32" t="n">
        <f aca="false">SUM(F2:F57)</f>
        <v>20051</v>
      </c>
      <c r="G58" s="33"/>
      <c r="H58" s="34" t="n">
        <f aca="false">AVERAGE(H2:H57)</f>
        <v>7.0625</v>
      </c>
    </row>
    <row r="59" customFormat="false" ht="12" hidden="false" customHeight="true" outlineLevel="0" collapsed="false">
      <c r="A59" s="24" t="s">
        <v>275</v>
      </c>
    </row>
    <row r="60" customFormat="false" ht="24" hidden="false" customHeight="true" outlineLevel="0" collapsed="false">
      <c r="A60" s="6" t="s">
        <v>276</v>
      </c>
      <c r="B60" s="6" t="s">
        <v>277</v>
      </c>
      <c r="C60" s="6" t="s">
        <v>278</v>
      </c>
      <c r="D60" s="6" t="s">
        <v>279</v>
      </c>
      <c r="E60" s="6" t="s">
        <v>280</v>
      </c>
    </row>
    <row r="61" customFormat="false" ht="12" hidden="false" customHeight="true" outlineLevel="0" collapsed="false">
      <c r="A61" s="6" t="n">
        <f aca="false">SUM(J2:J57)</f>
        <v>20051</v>
      </c>
      <c r="B61" s="6" t="n">
        <f aca="false">SUM(K2:K57)</f>
        <v>56</v>
      </c>
      <c r="C61" s="6" t="n">
        <f aca="false">ROUND(A61/B61,0)</f>
        <v>358</v>
      </c>
      <c r="D61" s="6" t="str">
        <f aca="false" t="array" ref="D61:D61">INDEX(L2:L57,MAX(IF(COUNTIF($L$2:$L$57,L2:L57)=LARGE(COUNTIF($L$2:$L$57,L2:L57),1),ROW(L2:L57)*0))*0.1)</f>
        <v>Franz Kafka</v>
      </c>
      <c r="E61" s="6"/>
    </row>
  </sheetData>
  <conditionalFormatting sqref="A2:H57 A60:E61">
    <cfRule type="expression" priority="2" aboveAverage="0" equalAverage="0" bottom="0" percent="0" rank="0" text="" dxfId="0">
      <formula>ISBLANK($E65535)</formula>
    </cfRule>
    <cfRule type="expression" priority="3" aboveAverage="0" equalAverage="0" bottom="0" percent="0" rank="0" text="" dxfId="1">
      <formula>IF($E65535&lt;&gt;" ",TRUE(),FALSE())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3"/>
  <sheetViews>
    <sheetView showFormulas="false" showGridLines="true" showRowColHeaders="true" showZeros="true" rightToLeft="false" tabSelected="false" showOutlineSymbols="true" defaultGridColor="true" view="normal" topLeftCell="A22" colorId="64" zoomScale="110" zoomScaleNormal="110" zoomScalePageLayoutView="100" workbookViewId="0">
      <selection pane="topLeft" activeCell="B38" activeCellId="0" sqref="B38"/>
    </sheetView>
  </sheetViews>
  <sheetFormatPr defaultColWidth="8.5" defaultRowHeight="12" zeroHeight="false" outlineLevelRow="0" outlineLevelCol="0"/>
  <cols>
    <col collapsed="false" customWidth="true" hidden="false" outlineLevel="0" max="1" min="1" style="0" width="46.49"/>
    <col collapsed="false" customWidth="true" hidden="false" outlineLevel="0" max="2" min="2" style="0" width="24.5"/>
    <col collapsed="false" customWidth="true" hidden="false" outlineLevel="0" max="3" min="3" style="0" width="12.5"/>
    <col collapsed="false" customWidth="true" hidden="false" outlineLevel="0" max="4" min="4" style="0" width="14.49"/>
    <col collapsed="false" customWidth="true" hidden="false" outlineLevel="0" max="5" min="5" style="0" width="11.5"/>
    <col collapsed="false" customWidth="true" hidden="false" outlineLevel="0" max="6" min="6" style="0" width="9.49"/>
    <col collapsed="false" customWidth="true" hidden="false" outlineLevel="0" max="7" min="7" style="0" width="13.49"/>
    <col collapsed="false" customWidth="true" hidden="false" outlineLevel="0" max="8" min="8" style="0" width="22.49"/>
    <col collapsed="false" customWidth="false" hidden="true" outlineLevel="0" max="10" min="9" style="0" width="8.49"/>
  </cols>
  <sheetData>
    <row r="1" s="6" customFormat="true" ht="12.75" hidden="false" customHeight="true" outlineLevel="0" collapsed="false">
      <c r="A1" s="24" t="s">
        <v>0</v>
      </c>
      <c r="B1" s="25" t="s">
        <v>1</v>
      </c>
      <c r="C1" s="25" t="s">
        <v>2</v>
      </c>
      <c r="D1" s="26" t="s">
        <v>3</v>
      </c>
      <c r="E1" s="27" t="s">
        <v>4</v>
      </c>
      <c r="F1" s="26" t="s">
        <v>5</v>
      </c>
      <c r="G1" s="27" t="s">
        <v>6</v>
      </c>
      <c r="H1" s="28" t="s">
        <v>7</v>
      </c>
      <c r="I1" s="35" t="s">
        <v>281</v>
      </c>
      <c r="J1" s="36" t="s">
        <v>1</v>
      </c>
    </row>
    <row r="2" customFormat="false" ht="12" hidden="false" customHeight="true" outlineLevel="0" collapsed="false">
      <c r="A2" s="16" t="s">
        <v>282</v>
      </c>
      <c r="B2" s="16" t="s">
        <v>283</v>
      </c>
      <c r="C2" s="16" t="s">
        <v>33</v>
      </c>
      <c r="D2" s="29" t="n">
        <v>40151</v>
      </c>
      <c r="E2" s="22" t="n">
        <v>40616</v>
      </c>
      <c r="F2" s="16" t="n">
        <v>94</v>
      </c>
      <c r="G2" s="16" t="s">
        <v>249</v>
      </c>
      <c r="H2" s="13" t="n">
        <v>6</v>
      </c>
      <c r="I2" s="37" t="e">
        <f aca="false">NA()</f>
        <v>#N/A</v>
      </c>
      <c r="J2" s="37" t="str">
        <f aca="false">B2</f>
        <v>Nacho Vegas</v>
      </c>
    </row>
    <row r="3" customFormat="false" ht="12" hidden="false" customHeight="true" outlineLevel="0" collapsed="false">
      <c r="A3" s="6" t="s">
        <v>284</v>
      </c>
      <c r="B3" s="16" t="s">
        <v>285</v>
      </c>
      <c r="C3" s="16" t="s">
        <v>286</v>
      </c>
      <c r="D3" s="22" t="n">
        <v>40553</v>
      </c>
      <c r="E3" s="22" t="n">
        <v>40612</v>
      </c>
      <c r="F3" s="16" t="n">
        <v>180</v>
      </c>
      <c r="G3" s="16" t="s">
        <v>286</v>
      </c>
      <c r="H3" s="13" t="n">
        <v>8</v>
      </c>
      <c r="I3" s="37" t="e">
        <f aca="false">NA()</f>
        <v>#N/A</v>
      </c>
      <c r="J3" s="37" t="str">
        <f aca="false">B3</f>
        <v>Varios</v>
      </c>
    </row>
    <row r="4" customFormat="false" ht="12" hidden="false" customHeight="true" outlineLevel="0" collapsed="false">
      <c r="A4" s="6" t="s">
        <v>287</v>
      </c>
      <c r="B4" s="16" t="s">
        <v>288</v>
      </c>
      <c r="C4" s="16" t="s">
        <v>189</v>
      </c>
      <c r="D4" s="22" t="n">
        <v>40513</v>
      </c>
      <c r="E4" s="22" t="n">
        <v>40550</v>
      </c>
      <c r="F4" s="16" t="n">
        <v>283</v>
      </c>
      <c r="G4" s="16" t="s">
        <v>58</v>
      </c>
      <c r="H4" s="13" t="n">
        <v>6</v>
      </c>
      <c r="I4" s="37" t="e">
        <f aca="false">NA()</f>
        <v>#N/A</v>
      </c>
      <c r="J4" s="37" t="str">
        <f aca="false">B4</f>
        <v>C. W Ceram</v>
      </c>
    </row>
    <row r="5" customFormat="false" ht="12" hidden="false" customHeight="true" outlineLevel="0" collapsed="false">
      <c r="A5" s="6" t="s">
        <v>289</v>
      </c>
      <c r="B5" s="6" t="s">
        <v>208</v>
      </c>
      <c r="C5" s="16" t="s">
        <v>189</v>
      </c>
      <c r="D5" s="22" t="n">
        <v>40550</v>
      </c>
      <c r="E5" s="22" t="n">
        <v>40563</v>
      </c>
      <c r="F5" s="16" t="n">
        <v>400</v>
      </c>
      <c r="G5" s="16" t="s">
        <v>10</v>
      </c>
      <c r="H5" s="13" t="n">
        <v>8</v>
      </c>
      <c r="I5" s="37" t="e">
        <f aca="false">NA()</f>
        <v>#N/A</v>
      </c>
      <c r="J5" s="37" t="str">
        <f aca="false">B5</f>
        <v>Neal Stephenson</v>
      </c>
    </row>
    <row r="6" customFormat="false" ht="12" hidden="false" customHeight="true" outlineLevel="0" collapsed="false">
      <c r="A6" s="6" t="s">
        <v>290</v>
      </c>
      <c r="B6" s="6" t="s">
        <v>285</v>
      </c>
      <c r="C6" s="16" t="s">
        <v>33</v>
      </c>
      <c r="D6" s="22" t="n">
        <v>40562</v>
      </c>
      <c r="E6" s="22" t="n">
        <v>40590</v>
      </c>
      <c r="F6" s="16" t="n">
        <v>415</v>
      </c>
      <c r="G6" s="16" t="s">
        <v>24</v>
      </c>
      <c r="H6" s="13" t="n">
        <v>7.5</v>
      </c>
      <c r="I6" s="37" t="e">
        <f aca="false">NA()</f>
        <v>#N/A</v>
      </c>
      <c r="J6" s="37" t="str">
        <f aca="false">B6</f>
        <v>Varios</v>
      </c>
    </row>
    <row r="7" customFormat="false" ht="12" hidden="false" customHeight="true" outlineLevel="0" collapsed="false">
      <c r="A7" s="6" t="s">
        <v>291</v>
      </c>
      <c r="B7" s="6" t="s">
        <v>208</v>
      </c>
      <c r="C7" s="16" t="s">
        <v>189</v>
      </c>
      <c r="D7" s="22" t="n">
        <v>40563</v>
      </c>
      <c r="E7" s="22" t="n">
        <v>40573</v>
      </c>
      <c r="F7" s="16" t="n">
        <v>320</v>
      </c>
      <c r="G7" s="16" t="s">
        <v>10</v>
      </c>
      <c r="H7" s="13" t="n">
        <v>8</v>
      </c>
      <c r="I7" s="37" t="e">
        <f aca="false">NA()</f>
        <v>#N/A</v>
      </c>
      <c r="J7" s="37" t="str">
        <f aca="false">B7</f>
        <v>Neal Stephenson</v>
      </c>
    </row>
    <row r="8" customFormat="false" ht="12" hidden="false" customHeight="true" outlineLevel="0" collapsed="false">
      <c r="A8" s="6" t="s">
        <v>292</v>
      </c>
      <c r="B8" s="6" t="s">
        <v>293</v>
      </c>
      <c r="C8" s="16" t="s">
        <v>189</v>
      </c>
      <c r="D8" s="22" t="n">
        <v>40573</v>
      </c>
      <c r="E8" s="22" t="n">
        <v>40578</v>
      </c>
      <c r="F8" s="16" t="n">
        <v>288</v>
      </c>
      <c r="G8" s="16" t="s">
        <v>24</v>
      </c>
      <c r="H8" s="13" t="n">
        <v>7</v>
      </c>
      <c r="I8" s="37" t="e">
        <f aca="false">NA()</f>
        <v>#N/A</v>
      </c>
      <c r="J8" s="37" t="str">
        <f aca="false">B8</f>
        <v>Tom Standage</v>
      </c>
    </row>
    <row r="9" customFormat="false" ht="12" hidden="false" customHeight="true" outlineLevel="0" collapsed="false">
      <c r="A9" s="6" t="s">
        <v>294</v>
      </c>
      <c r="B9" s="6" t="s">
        <v>285</v>
      </c>
      <c r="C9" s="16" t="s">
        <v>33</v>
      </c>
      <c r="D9" s="22" t="n">
        <v>40577</v>
      </c>
      <c r="E9" s="22" t="n">
        <v>40633</v>
      </c>
      <c r="F9" s="16" t="n">
        <v>300</v>
      </c>
      <c r="G9" s="16" t="s">
        <v>295</v>
      </c>
      <c r="H9" s="13" t="n">
        <v>5</v>
      </c>
      <c r="I9" s="37" t="e">
        <f aca="false">NA()</f>
        <v>#N/A</v>
      </c>
      <c r="J9" s="37" t="str">
        <f aca="false">B9</f>
        <v>Varios</v>
      </c>
    </row>
    <row r="10" customFormat="false" ht="12" hidden="false" customHeight="true" outlineLevel="0" collapsed="false">
      <c r="A10" s="6" t="s">
        <v>296</v>
      </c>
      <c r="B10" s="6" t="s">
        <v>297</v>
      </c>
      <c r="C10" s="16" t="s">
        <v>33</v>
      </c>
      <c r="D10" s="22" t="n">
        <v>40594</v>
      </c>
      <c r="E10" s="22" t="n">
        <v>40596</v>
      </c>
      <c r="F10" s="16" t="n">
        <v>318</v>
      </c>
      <c r="G10" s="16" t="s">
        <v>10</v>
      </c>
      <c r="H10" s="13" t="n">
        <v>6</v>
      </c>
      <c r="I10" s="37" t="e">
        <f aca="false">NA()</f>
        <v>#N/A</v>
      </c>
      <c r="J10" s="37" t="str">
        <f aca="false">B10</f>
        <v>Luis Miguel Guerra</v>
      </c>
    </row>
    <row r="11" customFormat="false" ht="12" hidden="false" customHeight="true" outlineLevel="0" collapsed="false">
      <c r="A11" s="6" t="s">
        <v>298</v>
      </c>
      <c r="B11" s="6" t="s">
        <v>208</v>
      </c>
      <c r="C11" s="16" t="s">
        <v>189</v>
      </c>
      <c r="D11" s="22" t="n">
        <v>40597</v>
      </c>
      <c r="E11" s="22" t="n">
        <v>40610</v>
      </c>
      <c r="F11" s="16" t="n">
        <v>360</v>
      </c>
      <c r="G11" s="16" t="s">
        <v>10</v>
      </c>
      <c r="H11" s="13" t="n">
        <v>7.5</v>
      </c>
      <c r="I11" s="37" t="e">
        <f aca="false">NA()</f>
        <v>#N/A</v>
      </c>
      <c r="J11" s="37" t="str">
        <f aca="false">B11</f>
        <v>Neal Stephenson</v>
      </c>
    </row>
    <row r="12" customFormat="false" ht="12" hidden="false" customHeight="true" outlineLevel="0" collapsed="false">
      <c r="A12" s="6" t="s">
        <v>299</v>
      </c>
      <c r="B12" s="6" t="s">
        <v>300</v>
      </c>
      <c r="C12" s="16" t="s">
        <v>33</v>
      </c>
      <c r="D12" s="22" t="n">
        <v>40611</v>
      </c>
      <c r="E12" s="22" t="n">
        <v>40616</v>
      </c>
      <c r="F12" s="16" t="n">
        <v>167</v>
      </c>
      <c r="G12" s="16" t="s">
        <v>10</v>
      </c>
      <c r="H12" s="13" t="n">
        <v>6</v>
      </c>
      <c r="I12" s="37" t="e">
        <f aca="false">NA()</f>
        <v>#N/A</v>
      </c>
      <c r="J12" s="37" t="str">
        <f aca="false">B12</f>
        <v>Richard Brautigan</v>
      </c>
    </row>
    <row r="13" customFormat="false" ht="12" hidden="false" customHeight="true" outlineLevel="0" collapsed="false">
      <c r="A13" s="6" t="s">
        <v>301</v>
      </c>
      <c r="B13" s="6" t="s">
        <v>302</v>
      </c>
      <c r="C13" s="16" t="s">
        <v>33</v>
      </c>
      <c r="D13" s="22" t="n">
        <v>40617</v>
      </c>
      <c r="E13" s="22" t="n">
        <v>40637</v>
      </c>
      <c r="F13" s="16" t="n">
        <v>362</v>
      </c>
      <c r="G13" s="16" t="s">
        <v>303</v>
      </c>
      <c r="H13" s="13" t="n">
        <v>7.5</v>
      </c>
      <c r="I13" s="37" t="e">
        <f aca="false">NA()</f>
        <v>#N/A</v>
      </c>
      <c r="J13" s="37" t="str">
        <f aca="false">B13</f>
        <v>David Byrne</v>
      </c>
    </row>
    <row r="14" customFormat="false" ht="12" hidden="false" customHeight="true" outlineLevel="0" collapsed="false">
      <c r="A14" s="6" t="s">
        <v>304</v>
      </c>
      <c r="B14" s="6" t="s">
        <v>305</v>
      </c>
      <c r="C14" s="16" t="s">
        <v>189</v>
      </c>
      <c r="D14" s="22" t="n">
        <v>40625</v>
      </c>
      <c r="E14" s="22" t="n">
        <v>40630</v>
      </c>
      <c r="F14" s="16" t="n">
        <v>200</v>
      </c>
      <c r="G14" s="16" t="s">
        <v>58</v>
      </c>
      <c r="H14" s="13" t="n">
        <v>7.5</v>
      </c>
      <c r="I14" s="37" t="e">
        <f aca="false">NA()</f>
        <v>#N/A</v>
      </c>
      <c r="J14" s="37" t="str">
        <f aca="false">B14</f>
        <v>Stephen Ambrose</v>
      </c>
    </row>
    <row r="15" customFormat="false" ht="12" hidden="false" customHeight="true" outlineLevel="0" collapsed="false">
      <c r="A15" s="6" t="s">
        <v>306</v>
      </c>
      <c r="B15" s="6" t="s">
        <v>307</v>
      </c>
      <c r="C15" s="16" t="s">
        <v>189</v>
      </c>
      <c r="D15" s="22" t="n">
        <v>40630</v>
      </c>
      <c r="E15" s="22" t="n">
        <v>40631</v>
      </c>
      <c r="F15" s="16" t="n">
        <v>190</v>
      </c>
      <c r="G15" s="16" t="s">
        <v>308</v>
      </c>
      <c r="H15" s="13" t="n">
        <v>7.5</v>
      </c>
      <c r="I15" s="37" t="e">
        <f aca="false">NA()</f>
        <v>#N/A</v>
      </c>
      <c r="J15" s="37" t="str">
        <f aca="false">B15</f>
        <v>Eduardo Sacheri</v>
      </c>
    </row>
    <row r="16" customFormat="false" ht="12" hidden="false" customHeight="true" outlineLevel="0" collapsed="false">
      <c r="A16" s="6" t="s">
        <v>309</v>
      </c>
      <c r="B16" s="6" t="s">
        <v>310</v>
      </c>
      <c r="C16" s="16" t="s">
        <v>189</v>
      </c>
      <c r="D16" s="22" t="n">
        <v>40630</v>
      </c>
      <c r="E16" s="22" t="n">
        <v>40632</v>
      </c>
      <c r="F16" s="16" t="n">
        <v>288</v>
      </c>
      <c r="G16" s="16" t="s">
        <v>10</v>
      </c>
      <c r="H16" s="13" t="n">
        <v>5</v>
      </c>
      <c r="I16" s="37" t="e">
        <f aca="false">NA()</f>
        <v>#N/A</v>
      </c>
      <c r="J16" s="37" t="str">
        <f aca="false">B16</f>
        <v>David Moodie</v>
      </c>
    </row>
    <row r="17" customFormat="false" ht="12" hidden="false" customHeight="true" outlineLevel="0" collapsed="false">
      <c r="A17" s="6" t="s">
        <v>311</v>
      </c>
      <c r="B17" s="6" t="s">
        <v>312</v>
      </c>
      <c r="C17" s="16" t="s">
        <v>189</v>
      </c>
      <c r="D17" s="22" t="n">
        <v>40631</v>
      </c>
      <c r="E17" s="22" t="n">
        <v>40640</v>
      </c>
      <c r="F17" s="16" t="n">
        <v>320</v>
      </c>
      <c r="G17" s="16" t="s">
        <v>58</v>
      </c>
      <c r="H17" s="13" t="n">
        <v>6.5</v>
      </c>
      <c r="I17" s="37" t="e">
        <f aca="false">NA()</f>
        <v>#N/A</v>
      </c>
      <c r="J17" s="37" t="str">
        <f aca="false">B17</f>
        <v>Catherine Salles</v>
      </c>
    </row>
    <row r="18" customFormat="false" ht="12" hidden="false" customHeight="true" outlineLevel="0" collapsed="false">
      <c r="A18" s="6" t="s">
        <v>313</v>
      </c>
      <c r="B18" s="6" t="s">
        <v>314</v>
      </c>
      <c r="C18" s="16" t="s">
        <v>189</v>
      </c>
      <c r="D18" s="22" t="n">
        <v>40641</v>
      </c>
      <c r="E18" s="22" t="n">
        <v>40672</v>
      </c>
      <c r="F18" s="16" t="n">
        <v>720</v>
      </c>
      <c r="G18" s="16" t="s">
        <v>58</v>
      </c>
      <c r="H18" s="13" t="n">
        <v>8</v>
      </c>
      <c r="I18" s="37" t="e">
        <f aca="false">NA()</f>
        <v>#N/A</v>
      </c>
      <c r="J18" s="37" t="str">
        <f aca="false">B18</f>
        <v>Daniel J. Boorstin</v>
      </c>
    </row>
    <row r="19" customFormat="false" ht="12" hidden="false" customHeight="true" outlineLevel="0" collapsed="false">
      <c r="A19" s="6" t="s">
        <v>315</v>
      </c>
      <c r="B19" s="6" t="s">
        <v>316</v>
      </c>
      <c r="C19" s="16" t="s">
        <v>189</v>
      </c>
      <c r="D19" s="22" t="n">
        <v>40672</v>
      </c>
      <c r="E19" s="22" t="n">
        <v>40672</v>
      </c>
      <c r="F19" s="16" t="n">
        <v>67</v>
      </c>
      <c r="G19" s="16" t="s">
        <v>24</v>
      </c>
      <c r="H19" s="13" t="n">
        <v>5</v>
      </c>
      <c r="I19" s="37" t="e">
        <f aca="false">NA()</f>
        <v>#N/A</v>
      </c>
      <c r="J19" s="37" t="str">
        <f aca="false">B19</f>
        <v>Stephane Hessel</v>
      </c>
    </row>
    <row r="20" customFormat="false" ht="12" hidden="false" customHeight="true" outlineLevel="0" collapsed="false">
      <c r="A20" s="6" t="s">
        <v>317</v>
      </c>
      <c r="B20" s="6" t="s">
        <v>208</v>
      </c>
      <c r="C20" s="16" t="s">
        <v>189</v>
      </c>
      <c r="D20" s="22" t="n">
        <v>40672</v>
      </c>
      <c r="E20" s="22" t="n">
        <v>40696</v>
      </c>
      <c r="F20" s="16" t="n">
        <v>488</v>
      </c>
      <c r="G20" s="16" t="s">
        <v>24</v>
      </c>
      <c r="H20" s="13" t="n">
        <v>8.5</v>
      </c>
      <c r="I20" s="37" t="e">
        <f aca="false">NA()</f>
        <v>#N/A</v>
      </c>
      <c r="J20" s="37" t="str">
        <f aca="false">B20</f>
        <v>Neal Stephenson</v>
      </c>
    </row>
    <row r="21" customFormat="false" ht="12" hidden="false" customHeight="true" outlineLevel="0" collapsed="false">
      <c r="A21" s="6" t="s">
        <v>318</v>
      </c>
      <c r="B21" s="6" t="s">
        <v>208</v>
      </c>
      <c r="C21" s="16" t="s">
        <v>189</v>
      </c>
      <c r="D21" s="22" t="n">
        <v>40672</v>
      </c>
      <c r="E21" s="22" t="n">
        <v>40696</v>
      </c>
      <c r="F21" s="16" t="n">
        <v>368</v>
      </c>
      <c r="G21" s="16" t="s">
        <v>24</v>
      </c>
      <c r="H21" s="13" t="n">
        <v>8.5</v>
      </c>
      <c r="I21" s="37" t="e">
        <f aca="false">NA()</f>
        <v>#N/A</v>
      </c>
      <c r="J21" s="37" t="str">
        <f aca="false">B21</f>
        <v>Neal Stephenson</v>
      </c>
    </row>
    <row r="22" customFormat="false" ht="12" hidden="false" customHeight="true" outlineLevel="0" collapsed="false">
      <c r="A22" s="6" t="s">
        <v>319</v>
      </c>
      <c r="B22" s="6" t="s">
        <v>285</v>
      </c>
      <c r="C22" s="16" t="s">
        <v>286</v>
      </c>
      <c r="D22" s="22" t="n">
        <v>40677</v>
      </c>
      <c r="E22" s="22" t="n">
        <v>40575</v>
      </c>
      <c r="F22" s="16" t="n">
        <v>206</v>
      </c>
      <c r="G22" s="16" t="s">
        <v>286</v>
      </c>
      <c r="H22" s="13" t="n">
        <v>8</v>
      </c>
      <c r="I22" s="37" t="e">
        <f aca="false">NA()</f>
        <v>#N/A</v>
      </c>
      <c r="J22" s="37" t="str">
        <f aca="false">B22</f>
        <v>Varios</v>
      </c>
    </row>
    <row r="23" customFormat="false" ht="12" hidden="false" customHeight="true" outlineLevel="0" collapsed="false">
      <c r="A23" s="6" t="s">
        <v>320</v>
      </c>
      <c r="B23" s="6" t="s">
        <v>158</v>
      </c>
      <c r="C23" s="16" t="s">
        <v>33</v>
      </c>
      <c r="D23" s="22" t="n">
        <v>40696</v>
      </c>
      <c r="E23" s="22" t="n">
        <v>40778</v>
      </c>
      <c r="F23" s="16" t="n">
        <v>323</v>
      </c>
      <c r="G23" s="16" t="s">
        <v>10</v>
      </c>
      <c r="H23" s="13" t="n">
        <v>6</v>
      </c>
      <c r="I23" s="37" t="e">
        <f aca="false">NA()</f>
        <v>#N/A</v>
      </c>
      <c r="J23" s="37" t="str">
        <f aca="false">B23</f>
        <v>Roberto Bolaño</v>
      </c>
    </row>
    <row r="24" customFormat="false" ht="12" hidden="false" customHeight="true" outlineLevel="0" collapsed="false">
      <c r="A24" s="6" t="s">
        <v>321</v>
      </c>
      <c r="B24" s="6" t="s">
        <v>322</v>
      </c>
      <c r="C24" s="16" t="s">
        <v>189</v>
      </c>
      <c r="D24" s="22" t="n">
        <v>40697</v>
      </c>
      <c r="E24" s="22" t="n">
        <v>40701</v>
      </c>
      <c r="F24" s="16" t="n">
        <v>296</v>
      </c>
      <c r="G24" s="16" t="s">
        <v>10</v>
      </c>
      <c r="H24" s="13" t="n">
        <v>6.5</v>
      </c>
      <c r="I24" s="37" t="e">
        <f aca="false">NA()</f>
        <v>#N/A</v>
      </c>
      <c r="J24" s="37" t="str">
        <f aca="false">B24</f>
        <v>Manuel Loureiro</v>
      </c>
    </row>
    <row r="25" customFormat="false" ht="12" hidden="false" customHeight="true" outlineLevel="0" collapsed="false">
      <c r="A25" s="6" t="s">
        <v>323</v>
      </c>
      <c r="B25" s="6" t="s">
        <v>324</v>
      </c>
      <c r="C25" s="16" t="s">
        <v>189</v>
      </c>
      <c r="D25" s="22" t="n">
        <v>40702</v>
      </c>
      <c r="E25" s="22" t="n">
        <v>40721</v>
      </c>
      <c r="F25" s="16" t="n">
        <v>672</v>
      </c>
      <c r="G25" s="16" t="s">
        <v>58</v>
      </c>
      <c r="H25" s="13" t="n">
        <v>6.5</v>
      </c>
      <c r="I25" s="37" t="e">
        <f aca="false">NA()</f>
        <v>#N/A</v>
      </c>
      <c r="J25" s="37" t="str">
        <f aca="false">B25</f>
        <v>Rick Atkinson</v>
      </c>
    </row>
    <row r="26" customFormat="false" ht="12" hidden="false" customHeight="true" outlineLevel="0" collapsed="false">
      <c r="A26" s="6" t="s">
        <v>325</v>
      </c>
      <c r="B26" s="6" t="s">
        <v>326</v>
      </c>
      <c r="C26" s="16" t="s">
        <v>33</v>
      </c>
      <c r="D26" s="22" t="n">
        <v>40719</v>
      </c>
      <c r="E26" s="22" t="n">
        <v>40720</v>
      </c>
      <c r="F26" s="16" t="n">
        <v>192</v>
      </c>
      <c r="G26" s="16" t="s">
        <v>218</v>
      </c>
      <c r="H26" s="13" t="n">
        <v>7</v>
      </c>
      <c r="I26" s="37" t="e">
        <f aca="false">NA()</f>
        <v>#N/A</v>
      </c>
      <c r="J26" s="37" t="str">
        <f aca="false">B26</f>
        <v>Bruno Galindo</v>
      </c>
    </row>
    <row r="27" customFormat="false" ht="12" hidden="false" customHeight="true" outlineLevel="0" collapsed="false">
      <c r="A27" s="6" t="s">
        <v>327</v>
      </c>
      <c r="B27" s="6" t="s">
        <v>328</v>
      </c>
      <c r="C27" s="16" t="s">
        <v>189</v>
      </c>
      <c r="D27" s="22" t="n">
        <v>40721</v>
      </c>
      <c r="E27" s="22" t="n">
        <v>40735</v>
      </c>
      <c r="F27" s="16" t="n">
        <v>825</v>
      </c>
      <c r="G27" s="16" t="s">
        <v>58</v>
      </c>
      <c r="H27" s="13" t="n">
        <v>7.5</v>
      </c>
      <c r="I27" s="37" t="e">
        <f aca="false">NA()</f>
        <v>#N/A</v>
      </c>
      <c r="J27" s="37" t="str">
        <f aca="false">B27</f>
        <v>John Toland</v>
      </c>
    </row>
    <row r="28" customFormat="false" ht="12" hidden="false" customHeight="true" outlineLevel="0" collapsed="false">
      <c r="A28" s="6" t="s">
        <v>329</v>
      </c>
      <c r="B28" s="6" t="s">
        <v>330</v>
      </c>
      <c r="C28" s="16" t="s">
        <v>33</v>
      </c>
      <c r="D28" s="22" t="n">
        <v>40729</v>
      </c>
      <c r="E28" s="22" t="n">
        <v>40745</v>
      </c>
      <c r="F28" s="16" t="n">
        <v>186</v>
      </c>
      <c r="G28" s="16" t="s">
        <v>218</v>
      </c>
      <c r="H28" s="13" t="n">
        <v>8</v>
      </c>
      <c r="I28" s="37" t="e">
        <f aca="false">NA()</f>
        <v>#N/A</v>
      </c>
      <c r="J28" s="37" t="str">
        <f aca="false">B28</f>
        <v>Nando Cruz</v>
      </c>
    </row>
    <row r="29" customFormat="false" ht="12" hidden="false" customHeight="true" outlineLevel="0" collapsed="false">
      <c r="A29" s="6" t="s">
        <v>331</v>
      </c>
      <c r="B29" s="6" t="s">
        <v>332</v>
      </c>
      <c r="C29" s="16" t="s">
        <v>189</v>
      </c>
      <c r="D29" s="22" t="n">
        <v>40736</v>
      </c>
      <c r="E29" s="22" t="n">
        <v>40750</v>
      </c>
      <c r="F29" s="16" t="n">
        <v>784</v>
      </c>
      <c r="G29" s="16" t="s">
        <v>58</v>
      </c>
      <c r="H29" s="13" t="n">
        <v>7.5</v>
      </c>
      <c r="I29" s="37" t="e">
        <f aca="false">NA()</f>
        <v>#N/A</v>
      </c>
      <c r="J29" s="37" t="str">
        <f aca="false">B29</f>
        <v>Anthony Beevor</v>
      </c>
    </row>
    <row r="30" customFormat="false" ht="12" hidden="false" customHeight="true" outlineLevel="0" collapsed="false">
      <c r="A30" s="6" t="s">
        <v>333</v>
      </c>
      <c r="B30" s="6" t="s">
        <v>334</v>
      </c>
      <c r="C30" s="16" t="s">
        <v>189</v>
      </c>
      <c r="D30" s="22" t="n">
        <v>40750</v>
      </c>
      <c r="E30" s="22" t="n">
        <v>40752</v>
      </c>
      <c r="F30" s="16" t="n">
        <v>192</v>
      </c>
      <c r="G30" s="16" t="s">
        <v>58</v>
      </c>
      <c r="H30" s="13" t="n">
        <v>7</v>
      </c>
      <c r="I30" s="37" t="e">
        <f aca="false">NA()</f>
        <v>#N/A</v>
      </c>
      <c r="J30" s="37" t="str">
        <f aca="false">B30</f>
        <v>Michael J. Thornton</v>
      </c>
    </row>
    <row r="31" customFormat="false" ht="12" hidden="false" customHeight="true" outlineLevel="0" collapsed="false">
      <c r="A31" s="6" t="s">
        <v>335</v>
      </c>
      <c r="B31" s="6" t="s">
        <v>336</v>
      </c>
      <c r="C31" s="16" t="s">
        <v>189</v>
      </c>
      <c r="D31" s="22" t="n">
        <v>40752</v>
      </c>
      <c r="E31" s="22" t="n">
        <v>40755</v>
      </c>
      <c r="F31" s="16" t="n">
        <v>192</v>
      </c>
      <c r="G31" s="16" t="s">
        <v>10</v>
      </c>
      <c r="H31" s="13" t="n">
        <v>6.5</v>
      </c>
      <c r="I31" s="37" t="e">
        <f aca="false">NA()</f>
        <v>#N/A</v>
      </c>
      <c r="J31" s="37" t="str">
        <f aca="false">B31</f>
        <v>Manuel de Pedrolo</v>
      </c>
    </row>
    <row r="32" customFormat="false" ht="12" hidden="false" customHeight="true" outlineLevel="0" collapsed="false">
      <c r="A32" s="6" t="s">
        <v>337</v>
      </c>
      <c r="B32" s="6" t="s">
        <v>338</v>
      </c>
      <c r="C32" s="16" t="s">
        <v>189</v>
      </c>
      <c r="D32" s="22" t="n">
        <v>40755</v>
      </c>
      <c r="E32" s="22" t="n">
        <v>40769</v>
      </c>
      <c r="F32" s="16" t="n">
        <v>1040</v>
      </c>
      <c r="G32" s="16" t="s">
        <v>58</v>
      </c>
      <c r="H32" s="13" t="n">
        <v>8</v>
      </c>
      <c r="I32" s="37" t="e">
        <f aca="false">NA()</f>
        <v>#N/A</v>
      </c>
      <c r="J32" s="37" t="str">
        <f aca="false">B32</f>
        <v>Paul Preston</v>
      </c>
    </row>
    <row r="33" customFormat="false" ht="12" hidden="false" customHeight="true" outlineLevel="0" collapsed="false">
      <c r="A33" s="6" t="s">
        <v>339</v>
      </c>
      <c r="B33" s="6" t="s">
        <v>285</v>
      </c>
      <c r="C33" s="16" t="s">
        <v>286</v>
      </c>
      <c r="D33" s="22" t="n">
        <v>40750</v>
      </c>
      <c r="E33" s="22" t="n">
        <v>40848</v>
      </c>
      <c r="F33" s="16" t="n">
        <v>206</v>
      </c>
      <c r="G33" s="16" t="s">
        <v>286</v>
      </c>
      <c r="H33" s="13" t="n">
        <v>7.5</v>
      </c>
      <c r="I33" s="37" t="e">
        <f aca="false">NA()</f>
        <v>#N/A</v>
      </c>
      <c r="J33" s="37" t="str">
        <f aca="false">B33</f>
        <v>Varios</v>
      </c>
    </row>
    <row r="34" customFormat="false" ht="12" hidden="false" customHeight="true" outlineLevel="0" collapsed="false">
      <c r="A34" s="6" t="s">
        <v>340</v>
      </c>
      <c r="B34" s="6" t="s">
        <v>341</v>
      </c>
      <c r="C34" s="16" t="s">
        <v>189</v>
      </c>
      <c r="D34" s="22" t="n">
        <v>40769</v>
      </c>
      <c r="E34" s="22" t="n">
        <v>40770</v>
      </c>
      <c r="F34" s="16" t="n">
        <v>327</v>
      </c>
      <c r="G34" s="16" t="s">
        <v>10</v>
      </c>
      <c r="H34" s="13" t="n">
        <v>6.5</v>
      </c>
      <c r="I34" s="37" t="e">
        <f aca="false">NA()</f>
        <v>#N/A</v>
      </c>
      <c r="J34" s="37" t="str">
        <f aca="false">B34</f>
        <v>Geoffrey A. Landis</v>
      </c>
    </row>
    <row r="35" customFormat="false" ht="12" hidden="false" customHeight="true" outlineLevel="0" collapsed="false">
      <c r="A35" s="6" t="s">
        <v>342</v>
      </c>
      <c r="B35" s="6" t="s">
        <v>343</v>
      </c>
      <c r="C35" s="16" t="s">
        <v>189</v>
      </c>
      <c r="D35" s="22" t="n">
        <v>40770</v>
      </c>
      <c r="E35" s="22" t="n">
        <v>40771</v>
      </c>
      <c r="F35" s="16" t="n">
        <v>224</v>
      </c>
      <c r="G35" s="16" t="s">
        <v>24</v>
      </c>
      <c r="H35" s="13" t="n">
        <v>7</v>
      </c>
      <c r="I35" s="37" t="e">
        <f aca="false">NA()</f>
        <v>#N/A</v>
      </c>
      <c r="J35" s="37" t="str">
        <f aca="false">B35</f>
        <v>Stephen Hawking</v>
      </c>
    </row>
    <row r="36" customFormat="false" ht="12" hidden="false" customHeight="true" outlineLevel="0" collapsed="false">
      <c r="A36" s="6" t="s">
        <v>344</v>
      </c>
      <c r="B36" s="6" t="s">
        <v>345</v>
      </c>
      <c r="C36" s="16" t="s">
        <v>189</v>
      </c>
      <c r="D36" s="22" t="n">
        <v>40771</v>
      </c>
      <c r="E36" s="22" t="n">
        <v>40773</v>
      </c>
      <c r="F36" s="16" t="n">
        <v>318</v>
      </c>
      <c r="G36" s="16" t="s">
        <v>10</v>
      </c>
      <c r="H36" s="13" t="n">
        <v>6.5</v>
      </c>
      <c r="I36" s="37" t="e">
        <f aca="false">NA()</f>
        <v>#N/A</v>
      </c>
      <c r="J36" s="37" t="str">
        <f aca="false">B36</f>
        <v>John Wyndham</v>
      </c>
    </row>
    <row r="37" customFormat="false" ht="12" hidden="false" customHeight="true" outlineLevel="0" collapsed="false">
      <c r="A37" s="6" t="s">
        <v>346</v>
      </c>
      <c r="B37" s="6" t="s">
        <v>347</v>
      </c>
      <c r="C37" s="16" t="s">
        <v>189</v>
      </c>
      <c r="D37" s="22" t="n">
        <v>40773</v>
      </c>
      <c r="E37" s="22" t="n">
        <v>40782</v>
      </c>
      <c r="F37" s="16" t="n">
        <v>616</v>
      </c>
      <c r="G37" s="16" t="s">
        <v>24</v>
      </c>
      <c r="H37" s="13" t="n">
        <v>7.9</v>
      </c>
      <c r="I37" s="37" t="e">
        <f aca="false">NA()</f>
        <v>#N/A</v>
      </c>
      <c r="J37" s="37" t="str">
        <f aca="false">B37</f>
        <v>Leo Lederman</v>
      </c>
    </row>
    <row r="38" customFormat="false" ht="12" hidden="false" customHeight="true" outlineLevel="0" collapsed="false">
      <c r="A38" s="6" t="s">
        <v>348</v>
      </c>
      <c r="B38" s="6" t="s">
        <v>174</v>
      </c>
      <c r="C38" s="16" t="s">
        <v>33</v>
      </c>
      <c r="D38" s="22" t="n">
        <v>40778</v>
      </c>
      <c r="E38" s="22" t="n">
        <v>40791</v>
      </c>
      <c r="F38" s="16" t="n">
        <v>256</v>
      </c>
      <c r="G38" s="16" t="s">
        <v>24</v>
      </c>
      <c r="H38" s="13" t="n">
        <v>7.3</v>
      </c>
      <c r="I38" s="37" t="e">
        <f aca="false">NA()</f>
        <v>#N/A</v>
      </c>
      <c r="J38" s="37" t="str">
        <f aca="false">B38</f>
        <v>Chuck Palahniuk</v>
      </c>
    </row>
    <row r="39" customFormat="false" ht="12" hidden="false" customHeight="true" outlineLevel="0" collapsed="false">
      <c r="A39" s="6" t="s">
        <v>349</v>
      </c>
      <c r="B39" s="6" t="s">
        <v>199</v>
      </c>
      <c r="C39" s="16" t="s">
        <v>189</v>
      </c>
      <c r="D39" s="22" t="n">
        <v>40783</v>
      </c>
      <c r="E39" s="22" t="n">
        <v>369518</v>
      </c>
      <c r="F39" s="16" t="n">
        <v>736</v>
      </c>
      <c r="G39" s="16" t="s">
        <v>10</v>
      </c>
      <c r="H39" s="13" t="n">
        <v>7.2</v>
      </c>
      <c r="I39" s="37" t="e">
        <f aca="false">NA()</f>
        <v>#N/A</v>
      </c>
      <c r="J39" s="37" t="str">
        <f aca="false">B39</f>
        <v>Kim Stanley Robinson</v>
      </c>
    </row>
    <row r="40" customFormat="false" ht="12" hidden="false" customHeight="true" outlineLevel="0" collapsed="false">
      <c r="A40" s="6" t="s">
        <v>350</v>
      </c>
      <c r="B40" s="6" t="s">
        <v>174</v>
      </c>
      <c r="C40" s="16" t="s">
        <v>33</v>
      </c>
      <c r="D40" s="22" t="n">
        <v>40792</v>
      </c>
      <c r="E40" s="22" t="n">
        <v>40805</v>
      </c>
      <c r="F40" s="16" t="n">
        <v>256</v>
      </c>
      <c r="G40" s="16" t="s">
        <v>10</v>
      </c>
      <c r="H40" s="13" t="n">
        <v>8.1</v>
      </c>
      <c r="I40" s="37" t="e">
        <f aca="false">NA()</f>
        <v>#N/A</v>
      </c>
      <c r="J40" s="37" t="str">
        <f aca="false">B40</f>
        <v>Chuck Palahniuk</v>
      </c>
    </row>
    <row r="41" customFormat="false" ht="12" hidden="false" customHeight="true" outlineLevel="0" collapsed="false">
      <c r="A41" s="6" t="s">
        <v>351</v>
      </c>
      <c r="B41" s="6" t="s">
        <v>352</v>
      </c>
      <c r="C41" s="16" t="s">
        <v>189</v>
      </c>
      <c r="D41" s="22" t="n">
        <v>40801</v>
      </c>
      <c r="E41" s="22" t="n">
        <v>40814</v>
      </c>
      <c r="F41" s="16" t="n">
        <v>320</v>
      </c>
      <c r="G41" s="16" t="s">
        <v>106</v>
      </c>
      <c r="H41" s="13" t="n">
        <v>7.5</v>
      </c>
      <c r="I41" s="37" t="e">
        <f aca="false">NA()</f>
        <v>#N/A</v>
      </c>
      <c r="J41" s="37" t="str">
        <f aca="false">B41</f>
        <v>Richard Westfall</v>
      </c>
    </row>
    <row r="42" customFormat="false" ht="12" hidden="false" customHeight="true" outlineLevel="0" collapsed="false">
      <c r="A42" s="6" t="s">
        <v>353</v>
      </c>
      <c r="B42" s="6" t="s">
        <v>354</v>
      </c>
      <c r="C42" s="16" t="s">
        <v>33</v>
      </c>
      <c r="D42" s="22" t="n">
        <v>40805</v>
      </c>
      <c r="E42" s="22" t="n">
        <v>40868</v>
      </c>
      <c r="F42" s="16" t="n">
        <v>816</v>
      </c>
      <c r="G42" s="16" t="s">
        <v>24</v>
      </c>
      <c r="H42" s="13" t="n">
        <v>4.5</v>
      </c>
      <c r="I42" s="37" t="e">
        <f aca="false">NA()</f>
        <v>#N/A</v>
      </c>
      <c r="J42" s="37" t="str">
        <f aca="false">B42</f>
        <v>Dietrich Schwanitz</v>
      </c>
    </row>
    <row r="43" customFormat="false" ht="12" hidden="false" customHeight="true" outlineLevel="0" collapsed="false">
      <c r="A43" s="6" t="s">
        <v>355</v>
      </c>
      <c r="B43" s="6" t="s">
        <v>208</v>
      </c>
      <c r="C43" s="16" t="s">
        <v>189</v>
      </c>
      <c r="D43" s="22" t="n">
        <v>40815</v>
      </c>
      <c r="E43" s="22" t="n">
        <v>40829</v>
      </c>
      <c r="F43" s="16" t="n">
        <v>384</v>
      </c>
      <c r="G43" s="16" t="s">
        <v>10</v>
      </c>
      <c r="H43" s="13" t="n">
        <v>7.8</v>
      </c>
      <c r="I43" s="37" t="e">
        <f aca="false">NA()</f>
        <v>#N/A</v>
      </c>
      <c r="J43" s="37" t="str">
        <f aca="false">B43</f>
        <v>Neal Stephenson</v>
      </c>
    </row>
    <row r="44" customFormat="false" ht="12" hidden="false" customHeight="true" outlineLevel="0" collapsed="false">
      <c r="A44" s="6" t="s">
        <v>356</v>
      </c>
      <c r="B44" s="6" t="s">
        <v>357</v>
      </c>
      <c r="C44" s="16" t="s">
        <v>189</v>
      </c>
      <c r="D44" s="22" t="n">
        <v>40829</v>
      </c>
      <c r="E44" s="22" t="n">
        <v>40853</v>
      </c>
      <c r="F44" s="16" t="n">
        <v>704</v>
      </c>
      <c r="G44" s="16" t="s">
        <v>58</v>
      </c>
      <c r="H44" s="13" t="n">
        <v>6.8</v>
      </c>
      <c r="I44" s="37" t="e">
        <f aca="false">NA()</f>
        <v>#N/A</v>
      </c>
      <c r="J44" s="37" t="str">
        <f aca="false">B44</f>
        <v>Charles Esdaile</v>
      </c>
    </row>
    <row r="45" customFormat="false" ht="12" hidden="false" customHeight="true" outlineLevel="0" collapsed="false">
      <c r="A45" s="6" t="s">
        <v>358</v>
      </c>
      <c r="B45" s="6" t="s">
        <v>359</v>
      </c>
      <c r="C45" s="16" t="s">
        <v>189</v>
      </c>
      <c r="D45" s="22" t="n">
        <v>40853</v>
      </c>
      <c r="E45" s="22" t="n">
        <v>40861</v>
      </c>
      <c r="F45" s="16" t="n">
        <v>499</v>
      </c>
      <c r="G45" s="16" t="s">
        <v>24</v>
      </c>
      <c r="H45" s="13" t="n">
        <v>6.5</v>
      </c>
      <c r="I45" s="37" t="e">
        <f aca="false">NA()</f>
        <v>#N/A</v>
      </c>
      <c r="J45" s="37" t="str">
        <f aca="false">B45</f>
        <v>Gordon Thomas</v>
      </c>
    </row>
    <row r="46" customFormat="false" ht="12" hidden="false" customHeight="true" outlineLevel="0" collapsed="false">
      <c r="A46" s="6" t="s">
        <v>360</v>
      </c>
      <c r="B46" s="6" t="s">
        <v>361</v>
      </c>
      <c r="C46" s="16" t="s">
        <v>189</v>
      </c>
      <c r="D46" s="22" t="n">
        <v>40861</v>
      </c>
      <c r="E46" s="22" t="n">
        <v>40900</v>
      </c>
      <c r="F46" s="16" t="n">
        <v>1512</v>
      </c>
      <c r="G46" s="16" t="s">
        <v>24</v>
      </c>
      <c r="H46" s="13" t="n">
        <v>8</v>
      </c>
      <c r="I46" s="37" t="e">
        <f aca="false">NA()</f>
        <v>#N/A</v>
      </c>
      <c r="J46" s="37" t="str">
        <f aca="false">B46</f>
        <v>Robert Fisk</v>
      </c>
    </row>
    <row r="47" customFormat="false" ht="12" hidden="false" customHeight="true" outlineLevel="0" collapsed="false">
      <c r="A47" s="6" t="s">
        <v>362</v>
      </c>
      <c r="B47" s="6" t="s">
        <v>73</v>
      </c>
      <c r="C47" s="16" t="s">
        <v>70</v>
      </c>
      <c r="D47" s="22" t="n">
        <v>40868</v>
      </c>
      <c r="E47" s="22" t="n">
        <v>40879</v>
      </c>
      <c r="F47" s="16" t="n">
        <v>302</v>
      </c>
      <c r="G47" s="16" t="s">
        <v>10</v>
      </c>
      <c r="H47" s="13" t="n">
        <v>7</v>
      </c>
      <c r="I47" s="37" t="e">
        <f aca="false">NA()</f>
        <v>#N/A</v>
      </c>
      <c r="J47" s="37" t="str">
        <f aca="false">B47</f>
        <v>Nick Hornby</v>
      </c>
    </row>
    <row r="48" customFormat="false" ht="12" hidden="false" customHeight="true" outlineLevel="0" collapsed="false">
      <c r="A48" s="6" t="s">
        <v>363</v>
      </c>
      <c r="B48" s="6" t="s">
        <v>208</v>
      </c>
      <c r="C48" s="16" t="s">
        <v>189</v>
      </c>
      <c r="D48" s="22" t="n">
        <v>40900</v>
      </c>
      <c r="E48" s="22" t="n">
        <v>40903</v>
      </c>
      <c r="F48" s="16" t="n">
        <v>158</v>
      </c>
      <c r="G48" s="16" t="s">
        <v>24</v>
      </c>
      <c r="H48" s="13" t="n">
        <v>5</v>
      </c>
      <c r="I48" s="37" t="e">
        <f aca="false">NA()</f>
        <v>#N/A</v>
      </c>
      <c r="J48" s="37" t="str">
        <f aca="false">B48</f>
        <v>Neal Stephenson</v>
      </c>
    </row>
    <row r="49" customFormat="false" ht="12" hidden="false" customHeight="true" outlineLevel="0" collapsed="false">
      <c r="A49" s="6" t="s">
        <v>364</v>
      </c>
      <c r="B49" s="6" t="s">
        <v>343</v>
      </c>
      <c r="C49" s="16" t="s">
        <v>189</v>
      </c>
      <c r="D49" s="22" t="n">
        <v>40903</v>
      </c>
      <c r="E49" s="22" t="n">
        <v>40907</v>
      </c>
      <c r="F49" s="16" t="n">
        <v>248</v>
      </c>
      <c r="G49" s="16" t="s">
        <v>24</v>
      </c>
      <c r="H49" s="13" t="n">
        <v>6.5</v>
      </c>
      <c r="I49" s="37" t="e">
        <f aca="false">NA()</f>
        <v>#N/A</v>
      </c>
      <c r="J49" s="37" t="str">
        <f aca="false">B49</f>
        <v>Stephen Hawking</v>
      </c>
    </row>
    <row r="50" customFormat="false" ht="12" hidden="false" customHeight="true" outlineLevel="0" collapsed="false">
      <c r="F50" s="32" t="n">
        <f aca="false">SUM(F2:F49)</f>
        <v>18918</v>
      </c>
      <c r="G50" s="33"/>
      <c r="H50" s="34" t="n">
        <f aca="false">AVERAGE(H2:H49)</f>
        <v>6.98125</v>
      </c>
    </row>
    <row r="51" customFormat="false" ht="12" hidden="false" customHeight="true" outlineLevel="0" collapsed="false">
      <c r="A51" s="24" t="s">
        <v>275</v>
      </c>
    </row>
    <row r="52" customFormat="false" ht="24" hidden="false" customHeight="true" outlineLevel="0" collapsed="false">
      <c r="A52" s="6" t="s">
        <v>277</v>
      </c>
      <c r="B52" s="6" t="s">
        <v>278</v>
      </c>
      <c r="C52" s="6" t="s">
        <v>279</v>
      </c>
      <c r="D52" s="6" t="s">
        <v>280</v>
      </c>
    </row>
    <row r="53" customFormat="false" ht="12" hidden="false" customHeight="true" outlineLevel="0" collapsed="false">
      <c r="A53" s="6" t="n">
        <f aca="false">COUNTIF(E2:E49,"&gt;0")</f>
        <v>48</v>
      </c>
      <c r="B53" s="38" t="n">
        <f aca="false">ROUND(F50/A53,0)</f>
        <v>394</v>
      </c>
      <c r="C53" s="6" t="e">
        <f aca="false">INDEX(J2:J49,MATCH(MAX(I2:I49),I2:I49,0),1)</f>
        <v>#N/A</v>
      </c>
      <c r="D53" s="6"/>
    </row>
  </sheetData>
  <conditionalFormatting sqref="A2:H49">
    <cfRule type="expression" priority="2" aboveAverage="0" equalAverage="0" bottom="0" percent="0" rank="0" text="" dxfId="2">
      <formula>ISBLANK($E65535)</formula>
    </cfRule>
    <cfRule type="expression" priority="3" aboveAverage="0" equalAverage="0" bottom="0" percent="0" rank="0" text="" dxfId="3">
      <formula>IF($E65535&lt;&gt;" ",TRUE(),FALSE())</formula>
    </cfRule>
  </conditionalFormatting>
  <conditionalFormatting sqref="A52:D52 A53 C53:D53">
    <cfRule type="expression" priority="4" aboveAverage="0" equalAverage="0" bottom="0" percent="0" rank="0" text="" dxfId="4">
      <formula>ISBLANK($D65435)</formula>
    </cfRule>
    <cfRule type="expression" priority="5" aboveAverage="0" equalAverage="0" bottom="0" percent="0" rank="0" text="" dxfId="5">
      <formula>IF($D65435&lt;&gt;" ",TRUE(),FALSE())</formula>
    </cfRule>
  </conditionalFormatting>
  <conditionalFormatting sqref="B53">
    <cfRule type="expression" priority="6" aboveAverage="0" equalAverage="0" bottom="0" percent="0" rank="0" text="" dxfId="6">
      <formula>ISBLANK($D65421)</formula>
    </cfRule>
    <cfRule type="expression" priority="7" aboveAverage="0" equalAverage="0" bottom="0" percent="0" rank="0" text="" dxfId="7">
      <formula>IF($D65421&lt;&gt;" ",TRUE(),FALSE())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false" showOutlineSymbols="true" defaultGridColor="true" view="normal" topLeftCell="A10" colorId="64" zoomScale="110" zoomScaleNormal="110" zoomScalePageLayoutView="100" workbookViewId="0">
      <selection pane="topLeft" activeCell="G43" activeCellId="0" sqref="G43"/>
    </sheetView>
  </sheetViews>
  <sheetFormatPr defaultColWidth="8.5" defaultRowHeight="12" zeroHeight="false" outlineLevelRow="0" outlineLevelCol="0"/>
  <cols>
    <col collapsed="false" customWidth="true" hidden="false" outlineLevel="0" max="1" min="1" style="0" width="46.49"/>
    <col collapsed="false" customWidth="true" hidden="false" outlineLevel="0" max="2" min="2" style="0" width="24.5"/>
    <col collapsed="false" customWidth="true" hidden="false" outlineLevel="0" max="3" min="3" style="0" width="12.5"/>
    <col collapsed="false" customWidth="true" hidden="false" outlineLevel="0" max="4" min="4" style="0" width="14.49"/>
    <col collapsed="false" customWidth="true" hidden="false" outlineLevel="0" max="5" min="5" style="0" width="11.5"/>
    <col collapsed="false" customWidth="true" hidden="false" outlineLevel="0" max="6" min="6" style="0" width="9.49"/>
    <col collapsed="false" customWidth="true" hidden="false" outlineLevel="0" max="7" min="7" style="0" width="13.49"/>
    <col collapsed="false" customWidth="true" hidden="false" outlineLevel="0" max="8" min="8" style="0" width="22.49"/>
    <col collapsed="false" customWidth="false" hidden="true" outlineLevel="0" max="10" min="9" style="0" width="8.49"/>
    <col collapsed="false" customWidth="true" hidden="false" outlineLevel="0" max="15" min="11" style="0" width="0.5"/>
    <col collapsed="false" customWidth="true" hidden="false" outlineLevel="0" max="24" min="16" style="0" width="1.5"/>
    <col collapsed="false" customWidth="true" hidden="false" outlineLevel="0" max="26" min="25" style="0" width="0.5"/>
    <col collapsed="false" customWidth="true" hidden="false" outlineLevel="0" max="27" min="27" style="0" width="1.5"/>
  </cols>
  <sheetData>
    <row r="1" s="6" customFormat="true" ht="12.75" hidden="false" customHeight="true" outlineLevel="0" collapsed="false">
      <c r="A1" s="24" t="s">
        <v>0</v>
      </c>
      <c r="B1" s="25" t="s">
        <v>1</v>
      </c>
      <c r="C1" s="25" t="s">
        <v>2</v>
      </c>
      <c r="D1" s="26" t="s">
        <v>3</v>
      </c>
      <c r="E1" s="27" t="s">
        <v>4</v>
      </c>
      <c r="F1" s="26" t="s">
        <v>5</v>
      </c>
      <c r="G1" s="27" t="s">
        <v>6</v>
      </c>
      <c r="H1" s="28" t="s">
        <v>7</v>
      </c>
      <c r="I1" s="35" t="s">
        <v>281</v>
      </c>
      <c r="J1" s="36" t="s">
        <v>1</v>
      </c>
    </row>
    <row r="2" customFormat="false" ht="12" hidden="false" customHeight="true" outlineLevel="0" collapsed="false">
      <c r="A2" s="39" t="s">
        <v>365</v>
      </c>
      <c r="B2" s="39" t="s">
        <v>285</v>
      </c>
      <c r="C2" s="40" t="s">
        <v>286</v>
      </c>
      <c r="D2" s="41" t="n">
        <v>40750</v>
      </c>
      <c r="E2" s="41" t="n">
        <v>41002</v>
      </c>
      <c r="F2" s="40" t="n">
        <v>206</v>
      </c>
      <c r="G2" s="40" t="s">
        <v>286</v>
      </c>
      <c r="H2" s="42" t="n">
        <v>5</v>
      </c>
      <c r="I2" s="37" t="e">
        <f aca="false">NA()</f>
        <v>#N/A</v>
      </c>
      <c r="J2" s="37" t="str">
        <f aca="false">B2</f>
        <v>Varios</v>
      </c>
    </row>
    <row r="3" customFormat="false" ht="12" hidden="false" customHeight="true" outlineLevel="0" collapsed="false">
      <c r="A3" s="43" t="n">
        <v>54</v>
      </c>
      <c r="B3" s="39" t="s">
        <v>366</v>
      </c>
      <c r="C3" s="40" t="s">
        <v>189</v>
      </c>
      <c r="D3" s="41" t="n">
        <v>40910</v>
      </c>
      <c r="E3" s="41" t="n">
        <v>40924</v>
      </c>
      <c r="F3" s="40" t="n">
        <v>600</v>
      </c>
      <c r="G3" s="40" t="s">
        <v>10</v>
      </c>
      <c r="H3" s="42" t="n">
        <v>7</v>
      </c>
      <c r="I3" s="37" t="e">
        <f aca="false">NA()</f>
        <v>#N/A</v>
      </c>
      <c r="J3" s="37" t="str">
        <f aca="false">B3</f>
        <v>Wu-ming</v>
      </c>
    </row>
    <row r="4" customFormat="false" ht="12" hidden="false" customHeight="true" outlineLevel="0" collapsed="false">
      <c r="A4" s="39" t="s">
        <v>367</v>
      </c>
      <c r="B4" s="39" t="s">
        <v>368</v>
      </c>
      <c r="C4" s="40" t="s">
        <v>189</v>
      </c>
      <c r="D4" s="41" t="n">
        <v>40925</v>
      </c>
      <c r="E4" s="41" t="n">
        <v>40940</v>
      </c>
      <c r="F4" s="40" t="n">
        <v>320</v>
      </c>
      <c r="G4" s="40" t="s">
        <v>10</v>
      </c>
      <c r="H4" s="42" t="n">
        <v>8</v>
      </c>
      <c r="I4" s="37" t="e">
        <f aca="false">NA()</f>
        <v>#N/A</v>
      </c>
      <c r="J4" s="37" t="str">
        <f aca="false">B4</f>
        <v>Irvine Welsh</v>
      </c>
    </row>
    <row r="5" customFormat="false" ht="12" hidden="false" customHeight="true" outlineLevel="0" collapsed="false">
      <c r="A5" s="39" t="s">
        <v>369</v>
      </c>
      <c r="B5" s="39" t="s">
        <v>370</v>
      </c>
      <c r="C5" s="40" t="s">
        <v>33</v>
      </c>
      <c r="D5" s="41" t="n">
        <v>40930</v>
      </c>
      <c r="E5" s="41" t="n">
        <v>40947</v>
      </c>
      <c r="F5" s="40" t="n">
        <v>672</v>
      </c>
      <c r="G5" s="40" t="s">
        <v>371</v>
      </c>
      <c r="H5" s="42" t="n">
        <v>8</v>
      </c>
      <c r="I5" s="37" t="e">
        <f aca="false">NA()</f>
        <v>#N/A</v>
      </c>
      <c r="J5" s="37" t="str">
        <f aca="false">B5</f>
        <v>Bill Bryson</v>
      </c>
    </row>
    <row r="6" customFormat="false" ht="12" hidden="false" customHeight="true" outlineLevel="0" collapsed="false">
      <c r="A6" s="39" t="s">
        <v>372</v>
      </c>
      <c r="B6" s="39" t="s">
        <v>373</v>
      </c>
      <c r="C6" s="40" t="s">
        <v>33</v>
      </c>
      <c r="D6" s="41" t="n">
        <v>40941</v>
      </c>
      <c r="E6" s="41" t="n">
        <v>40965</v>
      </c>
      <c r="F6" s="40" t="n">
        <v>512</v>
      </c>
      <c r="G6" s="40" t="s">
        <v>10</v>
      </c>
      <c r="H6" s="42" t="n">
        <v>7</v>
      </c>
      <c r="I6" s="37" t="e">
        <f aca="false">NA()</f>
        <v>#N/A</v>
      </c>
      <c r="J6" s="37" t="str">
        <f aca="false">B6</f>
        <v>Guillermo Cabrera Infante</v>
      </c>
    </row>
    <row r="7" customFormat="false" ht="12" hidden="false" customHeight="true" outlineLevel="0" collapsed="false">
      <c r="A7" s="39" t="s">
        <v>374</v>
      </c>
      <c r="B7" s="39" t="s">
        <v>375</v>
      </c>
      <c r="C7" s="40" t="s">
        <v>33</v>
      </c>
      <c r="D7" s="41" t="n">
        <v>40951</v>
      </c>
      <c r="E7" s="41" t="n">
        <v>41063</v>
      </c>
      <c r="F7" s="40" t="n">
        <v>397</v>
      </c>
      <c r="G7" s="40" t="s">
        <v>249</v>
      </c>
      <c r="H7" s="42" t="n">
        <v>6</v>
      </c>
      <c r="I7" s="37" t="e">
        <f aca="false">NA()</f>
        <v>#N/A</v>
      </c>
      <c r="J7" s="37" t="str">
        <f aca="false">B7</f>
        <v>Luc Sante</v>
      </c>
    </row>
    <row r="8" customFormat="false" ht="12" hidden="false" customHeight="true" outlineLevel="0" collapsed="false">
      <c r="A8" s="39" t="s">
        <v>376</v>
      </c>
      <c r="B8" s="39" t="s">
        <v>285</v>
      </c>
      <c r="C8" s="40" t="s">
        <v>33</v>
      </c>
      <c r="D8" s="41" t="n">
        <v>40959</v>
      </c>
      <c r="E8" s="41" t="n">
        <v>41060</v>
      </c>
      <c r="F8" s="40" t="n">
        <v>295</v>
      </c>
      <c r="G8" s="40" t="s">
        <v>295</v>
      </c>
      <c r="H8" s="42" t="n">
        <v>5</v>
      </c>
      <c r="I8" s="37"/>
      <c r="J8" s="37" t="str">
        <f aca="false">B8</f>
        <v>Varios</v>
      </c>
    </row>
    <row r="9" customFormat="false" ht="12" hidden="false" customHeight="true" outlineLevel="0" collapsed="false">
      <c r="A9" s="39" t="s">
        <v>377</v>
      </c>
      <c r="B9" s="39" t="s">
        <v>378</v>
      </c>
      <c r="C9" s="40" t="s">
        <v>189</v>
      </c>
      <c r="D9" s="41" t="n">
        <v>40966</v>
      </c>
      <c r="E9" s="41" t="n">
        <v>40969</v>
      </c>
      <c r="F9" s="40" t="n">
        <v>272</v>
      </c>
      <c r="G9" s="40" t="s">
        <v>10</v>
      </c>
      <c r="H9" s="42" t="n">
        <v>8</v>
      </c>
      <c r="I9" s="37" t="e">
        <f aca="false">NA()</f>
        <v>#N/A</v>
      </c>
      <c r="J9" s="37" t="str">
        <f aca="false">B9</f>
        <v>Chuck Palaniuk</v>
      </c>
    </row>
    <row r="10" customFormat="false" ht="12" hidden="false" customHeight="true" outlineLevel="0" collapsed="false">
      <c r="A10" s="39" t="s">
        <v>379</v>
      </c>
      <c r="B10" s="39" t="s">
        <v>285</v>
      </c>
      <c r="C10" s="40" t="s">
        <v>33</v>
      </c>
      <c r="D10" s="41" t="n">
        <v>40966</v>
      </c>
      <c r="E10" s="41" t="n">
        <v>40978</v>
      </c>
      <c r="F10" s="40" t="n">
        <v>114</v>
      </c>
      <c r="G10" s="40" t="s">
        <v>286</v>
      </c>
      <c r="H10" s="42" t="n">
        <v>7.5</v>
      </c>
      <c r="I10" s="37" t="e">
        <f aca="false">NA()</f>
        <v>#N/A</v>
      </c>
      <c r="J10" s="37" t="str">
        <f aca="false">B10</f>
        <v>Varios</v>
      </c>
    </row>
    <row r="11" customFormat="false" ht="12" hidden="false" customHeight="true" outlineLevel="0" collapsed="false">
      <c r="A11" s="39" t="s">
        <v>380</v>
      </c>
      <c r="B11" s="39" t="s">
        <v>381</v>
      </c>
      <c r="C11" s="40" t="s">
        <v>189</v>
      </c>
      <c r="D11" s="41" t="n">
        <v>40970</v>
      </c>
      <c r="E11" s="41" t="n">
        <v>40975</v>
      </c>
      <c r="F11" s="40" t="n">
        <v>304</v>
      </c>
      <c r="G11" s="40" t="s">
        <v>10</v>
      </c>
      <c r="H11" s="42" t="n">
        <v>6.5</v>
      </c>
      <c r="I11" s="37" t="e">
        <f aca="false">NA()</f>
        <v>#N/A</v>
      </c>
      <c r="J11" s="37" t="str">
        <f aca="false">B11</f>
        <v>Ira Levin</v>
      </c>
    </row>
    <row r="12" customFormat="false" ht="12" hidden="false" customHeight="true" outlineLevel="0" collapsed="false">
      <c r="A12" s="39" t="s">
        <v>382</v>
      </c>
      <c r="B12" s="39" t="s">
        <v>383</v>
      </c>
      <c r="C12" s="40" t="s">
        <v>189</v>
      </c>
      <c r="D12" s="41" t="n">
        <v>40975</v>
      </c>
      <c r="E12" s="41" t="n">
        <v>40975</v>
      </c>
      <c r="F12" s="40" t="n">
        <v>50</v>
      </c>
      <c r="G12" s="40" t="s">
        <v>24</v>
      </c>
      <c r="H12" s="42" t="n">
        <v>8</v>
      </c>
      <c r="I12" s="37" t="e">
        <f aca="false">NA()</f>
        <v>#N/A</v>
      </c>
      <c r="J12" s="37" t="str">
        <f aca="false">B12</f>
        <v>Iñigo Sáenz de Ugarte</v>
      </c>
    </row>
    <row r="13" customFormat="false" ht="12" hidden="false" customHeight="true" outlineLevel="0" collapsed="false">
      <c r="A13" s="44" t="s">
        <v>384</v>
      </c>
      <c r="B13" s="44" t="s">
        <v>208</v>
      </c>
      <c r="C13" s="44" t="s">
        <v>189</v>
      </c>
      <c r="D13" s="44" t="n">
        <v>40976</v>
      </c>
      <c r="E13" s="44" t="n">
        <v>40991</v>
      </c>
      <c r="F13" s="40" t="n">
        <v>736</v>
      </c>
      <c r="G13" s="40" t="s">
        <v>10</v>
      </c>
      <c r="H13" s="42" t="n">
        <v>8</v>
      </c>
      <c r="I13" s="37" t="e">
        <f aca="false">NA()</f>
        <v>#N/A</v>
      </c>
      <c r="J13" s="37" t="str">
        <f aca="false">B13</f>
        <v>Neal Stephenson</v>
      </c>
    </row>
    <row r="14" customFormat="false" ht="12" hidden="false" customHeight="true" outlineLevel="0" collapsed="false">
      <c r="A14" s="44" t="s">
        <v>385</v>
      </c>
      <c r="B14" s="44" t="s">
        <v>386</v>
      </c>
      <c r="C14" s="44" t="s">
        <v>33</v>
      </c>
      <c r="D14" s="44" t="n">
        <v>40986</v>
      </c>
      <c r="E14" s="44" t="n">
        <v>41015</v>
      </c>
      <c r="F14" s="40" t="n">
        <v>352</v>
      </c>
      <c r="G14" s="40" t="s">
        <v>24</v>
      </c>
      <c r="H14" s="42" t="n">
        <v>7</v>
      </c>
      <c r="I14" s="37" t="e">
        <f aca="false">NA()</f>
        <v>#N/A</v>
      </c>
      <c r="J14" s="37" t="str">
        <f aca="false">B14</f>
        <v>Chuck Klosterman</v>
      </c>
    </row>
    <row r="15" customFormat="false" ht="12" hidden="false" customHeight="true" outlineLevel="0" collapsed="false">
      <c r="A15" s="44" t="s">
        <v>387</v>
      </c>
      <c r="B15" s="44" t="s">
        <v>314</v>
      </c>
      <c r="C15" s="44" t="s">
        <v>189</v>
      </c>
      <c r="D15" s="44" t="n">
        <v>40993</v>
      </c>
      <c r="E15" s="44" t="n">
        <v>41025</v>
      </c>
      <c r="F15" s="40" t="n">
        <v>744</v>
      </c>
      <c r="G15" s="40" t="s">
        <v>24</v>
      </c>
      <c r="H15" s="42" t="n">
        <v>8</v>
      </c>
      <c r="I15" s="37" t="e">
        <f aca="false">NA()</f>
        <v>#N/A</v>
      </c>
      <c r="J15" s="37" t="str">
        <f aca="false">B15</f>
        <v>Daniel J. Boorstin</v>
      </c>
    </row>
    <row r="16" customFormat="false" ht="12" hidden="false" customHeight="true" outlineLevel="0" collapsed="false">
      <c r="A16" s="39" t="s">
        <v>388</v>
      </c>
      <c r="B16" s="39" t="s">
        <v>389</v>
      </c>
      <c r="C16" s="40" t="s">
        <v>189</v>
      </c>
      <c r="D16" s="41" t="n">
        <v>41000</v>
      </c>
      <c r="E16" s="41" t="n">
        <v>41000</v>
      </c>
      <c r="F16" s="40" t="n">
        <v>77</v>
      </c>
      <c r="G16" s="40" t="s">
        <v>390</v>
      </c>
      <c r="H16" s="42" t="n">
        <v>6</v>
      </c>
      <c r="I16" s="37" t="e">
        <f aca="false">NA()</f>
        <v>#N/A</v>
      </c>
      <c r="J16" s="37" t="str">
        <f aca="false">B16</f>
        <v>Aristófanes</v>
      </c>
    </row>
    <row r="17" customFormat="false" ht="12" hidden="false" customHeight="true" outlineLevel="0" collapsed="false">
      <c r="A17" s="39" t="s">
        <v>391</v>
      </c>
      <c r="B17" s="39" t="s">
        <v>392</v>
      </c>
      <c r="C17" s="40" t="s">
        <v>33</v>
      </c>
      <c r="D17" s="41" t="n">
        <v>41016</v>
      </c>
      <c r="E17" s="41" t="n">
        <v>41167</v>
      </c>
      <c r="F17" s="40" t="n">
        <v>576</v>
      </c>
      <c r="G17" s="40" t="s">
        <v>58</v>
      </c>
      <c r="H17" s="42" t="n">
        <v>7</v>
      </c>
      <c r="I17" s="37" t="e">
        <f aca="false">NA()</f>
        <v>#N/A</v>
      </c>
      <c r="J17" s="37" t="str">
        <f aca="false">B17</f>
        <v>Ferran Gallego</v>
      </c>
    </row>
    <row r="18" customFormat="false" ht="12" hidden="false" customHeight="true" outlineLevel="0" collapsed="false">
      <c r="A18" s="39" t="s">
        <v>393</v>
      </c>
      <c r="B18" s="39" t="s">
        <v>394</v>
      </c>
      <c r="C18" s="40" t="s">
        <v>189</v>
      </c>
      <c r="D18" s="41" t="n">
        <v>41025</v>
      </c>
      <c r="E18" s="41" t="n">
        <v>41042</v>
      </c>
      <c r="F18" s="40" t="n">
        <v>501</v>
      </c>
      <c r="G18" s="40" t="s">
        <v>395</v>
      </c>
      <c r="H18" s="42" t="n">
        <v>7</v>
      </c>
      <c r="I18" s="37" t="e">
        <f aca="false">NA()</f>
        <v>#N/A</v>
      </c>
      <c r="J18" s="37" t="str">
        <f aca="false">B18</f>
        <v>Homero</v>
      </c>
    </row>
    <row r="19" customFormat="false" ht="12" hidden="false" customHeight="true" outlineLevel="0" collapsed="false">
      <c r="A19" s="44" t="s">
        <v>396</v>
      </c>
      <c r="B19" s="44" t="s">
        <v>199</v>
      </c>
      <c r="C19" s="44" t="s">
        <v>189</v>
      </c>
      <c r="D19" s="41" t="n">
        <v>41043</v>
      </c>
      <c r="E19" s="41" t="n">
        <v>41052</v>
      </c>
      <c r="F19" s="40" t="n">
        <v>718</v>
      </c>
      <c r="G19" s="40" t="s">
        <v>10</v>
      </c>
      <c r="H19" s="42" t="n">
        <v>5</v>
      </c>
      <c r="I19" s="37" t="e">
        <f aca="false">NA()</f>
        <v>#N/A</v>
      </c>
      <c r="J19" s="37" t="str">
        <f aca="false">B19</f>
        <v>Kim Stanley Robinson</v>
      </c>
    </row>
    <row r="20" customFormat="false" ht="12" hidden="false" customHeight="true" outlineLevel="0" collapsed="false">
      <c r="A20" s="44" t="s">
        <v>397</v>
      </c>
      <c r="B20" s="44" t="s">
        <v>398</v>
      </c>
      <c r="C20" s="44" t="s">
        <v>189</v>
      </c>
      <c r="D20" s="41" t="n">
        <v>41052</v>
      </c>
      <c r="E20" s="41" t="n">
        <v>41052</v>
      </c>
      <c r="F20" s="40" t="n">
        <v>100</v>
      </c>
      <c r="G20" s="40" t="s">
        <v>58</v>
      </c>
      <c r="H20" s="42" t="n">
        <v>8</v>
      </c>
      <c r="I20" s="37" t="e">
        <f aca="false">NA()</f>
        <v>#N/A</v>
      </c>
      <c r="J20" s="37" t="str">
        <f aca="false">B20</f>
        <v>JdJ</v>
      </c>
    </row>
    <row r="21" customFormat="false" ht="12" hidden="false" customHeight="true" outlineLevel="0" collapsed="false">
      <c r="A21" s="44" t="s">
        <v>399</v>
      </c>
      <c r="B21" s="44" t="s">
        <v>400</v>
      </c>
      <c r="C21" s="44" t="s">
        <v>189</v>
      </c>
      <c r="D21" s="41" t="n">
        <v>41052</v>
      </c>
      <c r="E21" s="41" t="n">
        <v>41060</v>
      </c>
      <c r="F21" s="40" t="n">
        <v>256</v>
      </c>
      <c r="G21" s="40" t="s">
        <v>10</v>
      </c>
      <c r="H21" s="42" t="n">
        <v>5</v>
      </c>
      <c r="I21" s="37" t="e">
        <f aca="false">NA()</f>
        <v>#N/A</v>
      </c>
      <c r="J21" s="37" t="str">
        <f aca="false">B21</f>
        <v>Don DeLillo</v>
      </c>
    </row>
    <row r="22" customFormat="false" ht="12" hidden="false" customHeight="true" outlineLevel="0" collapsed="false">
      <c r="A22" s="44" t="s">
        <v>401</v>
      </c>
      <c r="B22" s="44" t="s">
        <v>402</v>
      </c>
      <c r="C22" s="44" t="s">
        <v>189</v>
      </c>
      <c r="D22" s="41" t="n">
        <v>41061</v>
      </c>
      <c r="E22" s="41" t="n">
        <v>41065</v>
      </c>
      <c r="F22" s="40" t="n">
        <v>152</v>
      </c>
      <c r="G22" s="40" t="s">
        <v>390</v>
      </c>
      <c r="H22" s="42" t="n">
        <v>6.5</v>
      </c>
      <c r="I22" s="37" t="e">
        <f aca="false">NA()</f>
        <v>#N/A</v>
      </c>
      <c r="J22" s="37" t="str">
        <f aca="false">B22</f>
        <v>William Shakespeare</v>
      </c>
    </row>
    <row r="23" customFormat="false" ht="12" hidden="false" customHeight="true" outlineLevel="0" collapsed="false">
      <c r="A23" s="44" t="s">
        <v>403</v>
      </c>
      <c r="B23" s="44" t="s">
        <v>402</v>
      </c>
      <c r="C23" s="44" t="s">
        <v>189</v>
      </c>
      <c r="D23" s="41" t="n">
        <v>41065</v>
      </c>
      <c r="E23" s="41" t="n">
        <v>41071</v>
      </c>
      <c r="F23" s="40" t="n">
        <v>240</v>
      </c>
      <c r="G23" s="40" t="s">
        <v>390</v>
      </c>
      <c r="H23" s="42" t="n">
        <v>7</v>
      </c>
      <c r="I23" s="37" t="e">
        <f aca="false">NA()</f>
        <v>#N/A</v>
      </c>
      <c r="J23" s="37" t="str">
        <f aca="false">B23</f>
        <v>William Shakespeare</v>
      </c>
    </row>
    <row r="24" customFormat="false" ht="12" hidden="false" customHeight="true" outlineLevel="0" collapsed="false">
      <c r="A24" s="44" t="s">
        <v>404</v>
      </c>
      <c r="B24" s="44" t="s">
        <v>405</v>
      </c>
      <c r="C24" s="44" t="s">
        <v>189</v>
      </c>
      <c r="D24" s="41" t="n">
        <v>41071</v>
      </c>
      <c r="E24" s="41" t="n">
        <v>41074</v>
      </c>
      <c r="F24" s="40" t="n">
        <v>205</v>
      </c>
      <c r="G24" s="40" t="s">
        <v>24</v>
      </c>
      <c r="H24" s="42" t="n">
        <v>7</v>
      </c>
      <c r="I24" s="37" t="e">
        <f aca="false">NA()</f>
        <v>#N/A</v>
      </c>
      <c r="J24" s="37" t="str">
        <f aca="false">B24</f>
        <v>Charles Darwin</v>
      </c>
    </row>
    <row r="25" customFormat="false" ht="12" hidden="false" customHeight="true" outlineLevel="0" collapsed="false">
      <c r="A25" s="44" t="s">
        <v>406</v>
      </c>
      <c r="B25" s="44" t="s">
        <v>407</v>
      </c>
      <c r="C25" s="44" t="s">
        <v>189</v>
      </c>
      <c r="D25" s="41" t="n">
        <v>41075</v>
      </c>
      <c r="E25" s="41" t="n">
        <v>41082</v>
      </c>
      <c r="F25" s="40" t="n">
        <v>222</v>
      </c>
      <c r="G25" s="40" t="s">
        <v>10</v>
      </c>
      <c r="H25" s="42" t="n">
        <v>7.5</v>
      </c>
      <c r="I25" s="37" t="e">
        <f aca="false">NA()</f>
        <v>#N/A</v>
      </c>
      <c r="J25" s="37" t="str">
        <f aca="false">B25</f>
        <v>Jack Vance</v>
      </c>
    </row>
    <row r="26" customFormat="false" ht="12" hidden="false" customHeight="true" outlineLevel="0" collapsed="false">
      <c r="A26" s="44" t="s">
        <v>408</v>
      </c>
      <c r="B26" s="44" t="s">
        <v>407</v>
      </c>
      <c r="C26" s="44" t="s">
        <v>189</v>
      </c>
      <c r="D26" s="41" t="n">
        <v>41082</v>
      </c>
      <c r="E26" s="41" t="n">
        <v>41089</v>
      </c>
      <c r="F26" s="40" t="n">
        <v>222</v>
      </c>
      <c r="G26" s="40" t="s">
        <v>10</v>
      </c>
      <c r="H26" s="42" t="n">
        <v>6.5</v>
      </c>
      <c r="I26" s="37" t="e">
        <f aca="false">NA()</f>
        <v>#N/A</v>
      </c>
      <c r="J26" s="37" t="str">
        <f aca="false">B26</f>
        <v>Jack Vance</v>
      </c>
    </row>
    <row r="27" customFormat="false" ht="12" hidden="false" customHeight="true" outlineLevel="0" collapsed="false">
      <c r="A27" s="44" t="s">
        <v>409</v>
      </c>
      <c r="B27" s="44" t="s">
        <v>407</v>
      </c>
      <c r="C27" s="44" t="s">
        <v>189</v>
      </c>
      <c r="D27" s="41" t="n">
        <v>41090</v>
      </c>
      <c r="E27" s="41" t="n">
        <v>41091</v>
      </c>
      <c r="F27" s="40" t="n">
        <v>215</v>
      </c>
      <c r="G27" s="40" t="s">
        <v>10</v>
      </c>
      <c r="H27" s="42" t="n">
        <v>6.5</v>
      </c>
      <c r="I27" s="37" t="e">
        <f aca="false">NA()</f>
        <v>#N/A</v>
      </c>
      <c r="J27" s="37" t="str">
        <f aca="false">B27</f>
        <v>Jack Vance</v>
      </c>
    </row>
    <row r="28" customFormat="false" ht="12" hidden="false" customHeight="true" outlineLevel="0" collapsed="false">
      <c r="A28" s="44" t="s">
        <v>410</v>
      </c>
      <c r="B28" s="44" t="s">
        <v>407</v>
      </c>
      <c r="C28" s="44" t="s">
        <v>189</v>
      </c>
      <c r="D28" s="41" t="n">
        <v>41092</v>
      </c>
      <c r="E28" s="41" t="n">
        <v>41094</v>
      </c>
      <c r="F28" s="40" t="n">
        <v>195</v>
      </c>
      <c r="G28" s="40" t="s">
        <v>10</v>
      </c>
      <c r="H28" s="42" t="n">
        <v>6.5</v>
      </c>
      <c r="I28" s="37" t="e">
        <f aca="false">NA()</f>
        <v>#N/A</v>
      </c>
      <c r="J28" s="37" t="str">
        <f aca="false">B28</f>
        <v>Jack Vance</v>
      </c>
    </row>
    <row r="29" customFormat="false" ht="24" hidden="false" customHeight="true" outlineLevel="0" collapsed="false">
      <c r="A29" s="44" t="s">
        <v>411</v>
      </c>
      <c r="B29" s="45" t="s">
        <v>412</v>
      </c>
      <c r="C29" s="44" t="s">
        <v>189</v>
      </c>
      <c r="D29" s="41" t="n">
        <v>41094</v>
      </c>
      <c r="E29" s="41" t="n">
        <v>41099</v>
      </c>
      <c r="F29" s="40" t="n">
        <v>448</v>
      </c>
      <c r="G29" s="40" t="s">
        <v>371</v>
      </c>
      <c r="H29" s="42" t="n">
        <v>7.2</v>
      </c>
      <c r="I29" s="37" t="e">
        <f aca="false">NA()</f>
        <v>#N/A</v>
      </c>
      <c r="J29" s="37" t="str">
        <f aca="false">B29</f>
        <v>Juan Luis Arsuaga y Ignacio Martinez</v>
      </c>
    </row>
    <row r="30" customFormat="false" ht="12" hidden="false" customHeight="true" outlineLevel="0" collapsed="false">
      <c r="A30" s="44" t="s">
        <v>413</v>
      </c>
      <c r="B30" s="44" t="s">
        <v>414</v>
      </c>
      <c r="C30" s="44" t="s">
        <v>189</v>
      </c>
      <c r="D30" s="41" t="n">
        <v>41100</v>
      </c>
      <c r="E30" s="41" t="n">
        <v>41104</v>
      </c>
      <c r="F30" s="40" t="n">
        <v>392</v>
      </c>
      <c r="G30" s="40" t="s">
        <v>58</v>
      </c>
      <c r="H30" s="42" t="n">
        <v>8</v>
      </c>
      <c r="I30" s="37" t="e">
        <f aca="false">NA()</f>
        <v>#N/A</v>
      </c>
      <c r="J30" s="37" t="str">
        <f aca="false">B30</f>
        <v>Henry A. Turner</v>
      </c>
    </row>
    <row r="31" customFormat="false" ht="12" hidden="false" customHeight="true" outlineLevel="0" collapsed="false">
      <c r="A31" s="44" t="s">
        <v>415</v>
      </c>
      <c r="B31" s="44" t="s">
        <v>416</v>
      </c>
      <c r="C31" s="44" t="s">
        <v>189</v>
      </c>
      <c r="D31" s="41" t="n">
        <v>41104</v>
      </c>
      <c r="E31" s="41" t="n">
        <v>41109</v>
      </c>
      <c r="F31" s="40" t="n">
        <v>320</v>
      </c>
      <c r="G31" s="40" t="s">
        <v>10</v>
      </c>
      <c r="H31" s="42" t="n">
        <v>7</v>
      </c>
      <c r="I31" s="37" t="e">
        <f aca="false">NA()</f>
        <v>#N/A</v>
      </c>
      <c r="J31" s="37" t="str">
        <f aca="false">B31</f>
        <v>Jeff Carlson</v>
      </c>
    </row>
    <row r="32" customFormat="false" ht="12" hidden="false" customHeight="true" outlineLevel="0" collapsed="false">
      <c r="A32" s="44" t="s">
        <v>417</v>
      </c>
      <c r="B32" s="44" t="s">
        <v>418</v>
      </c>
      <c r="C32" s="44" t="s">
        <v>189</v>
      </c>
      <c r="D32" s="41" t="n">
        <v>41109</v>
      </c>
      <c r="E32" s="41" t="n">
        <v>73989</v>
      </c>
      <c r="F32" s="40" t="n">
        <v>496</v>
      </c>
      <c r="G32" s="40" t="s">
        <v>10</v>
      </c>
      <c r="H32" s="42" t="n">
        <v>8</v>
      </c>
      <c r="I32" s="37" t="e">
        <f aca="false">NA()</f>
        <v>#N/A</v>
      </c>
      <c r="J32" s="37" t="str">
        <f aca="false">B32</f>
        <v>Gabriel García-Marquez</v>
      </c>
    </row>
    <row r="33" customFormat="false" ht="12" hidden="false" customHeight="true" outlineLevel="0" collapsed="false">
      <c r="A33" s="44" t="s">
        <v>419</v>
      </c>
      <c r="B33" s="44" t="s">
        <v>420</v>
      </c>
      <c r="C33" s="44" t="s">
        <v>189</v>
      </c>
      <c r="D33" s="41" t="n">
        <v>41118</v>
      </c>
      <c r="E33" s="41" t="n">
        <v>73991</v>
      </c>
      <c r="F33" s="40" t="n">
        <v>144</v>
      </c>
      <c r="G33" s="40" t="s">
        <v>172</v>
      </c>
      <c r="H33" s="42" t="n">
        <v>6</v>
      </c>
      <c r="I33" s="37" t="e">
        <f aca="false">NA()</f>
        <v>#N/A</v>
      </c>
      <c r="J33" s="37" t="str">
        <f aca="false">B33</f>
        <v>Alex Sailó</v>
      </c>
    </row>
    <row r="34" customFormat="false" ht="12" hidden="false" customHeight="true" outlineLevel="0" collapsed="false">
      <c r="A34" s="44" t="s">
        <v>421</v>
      </c>
      <c r="B34" s="44" t="s">
        <v>422</v>
      </c>
      <c r="C34" s="44" t="s">
        <v>189</v>
      </c>
      <c r="D34" s="41" t="n">
        <v>41120</v>
      </c>
      <c r="E34" s="41" t="n">
        <v>41139</v>
      </c>
      <c r="F34" s="40" t="n">
        <v>1200</v>
      </c>
      <c r="G34" s="40" t="s">
        <v>10</v>
      </c>
      <c r="H34" s="42" t="n">
        <v>6</v>
      </c>
      <c r="I34" s="37" t="e">
        <f aca="false">NA()</f>
        <v>#N/A</v>
      </c>
      <c r="J34" s="37" t="str">
        <f aca="false">B34</f>
        <v>Jonathan Littell</v>
      </c>
    </row>
    <row r="35" customFormat="false" ht="12" hidden="false" customHeight="true" outlineLevel="0" collapsed="false">
      <c r="A35" s="44" t="s">
        <v>423</v>
      </c>
      <c r="B35" s="44" t="s">
        <v>424</v>
      </c>
      <c r="C35" s="44" t="s">
        <v>33</v>
      </c>
      <c r="D35" s="41" t="n">
        <v>41129</v>
      </c>
      <c r="E35" s="41" t="n">
        <v>41136</v>
      </c>
      <c r="F35" s="40" t="n">
        <v>618</v>
      </c>
      <c r="G35" s="40" t="s">
        <v>10</v>
      </c>
      <c r="H35" s="42" t="n">
        <v>8</v>
      </c>
      <c r="I35" s="37" t="e">
        <f aca="false">NA()</f>
        <v>#N/A</v>
      </c>
      <c r="J35" s="37" t="str">
        <f aca="false">B35</f>
        <v>Dan Simmons</v>
      </c>
    </row>
    <row r="36" customFormat="false" ht="12" hidden="false" customHeight="true" outlineLevel="0" collapsed="false">
      <c r="A36" s="44" t="s">
        <v>425</v>
      </c>
      <c r="B36" s="44" t="s">
        <v>426</v>
      </c>
      <c r="C36" s="44" t="s">
        <v>189</v>
      </c>
      <c r="D36" s="41" t="n">
        <v>41139</v>
      </c>
      <c r="E36" s="41" t="n">
        <v>41140</v>
      </c>
      <c r="F36" s="40" t="n">
        <v>192</v>
      </c>
      <c r="G36" s="40" t="s">
        <v>10</v>
      </c>
      <c r="H36" s="42" t="n">
        <v>6</v>
      </c>
      <c r="I36" s="37" t="e">
        <f aca="false">NA()</f>
        <v>#N/A</v>
      </c>
      <c r="J36" s="37" t="str">
        <f aca="false">B36</f>
        <v>Ursula K. Le Guin</v>
      </c>
    </row>
    <row r="37" customFormat="false" ht="12" hidden="false" customHeight="true" outlineLevel="0" collapsed="false">
      <c r="A37" s="44" t="s">
        <v>427</v>
      </c>
      <c r="B37" s="44" t="s">
        <v>428</v>
      </c>
      <c r="C37" s="44" t="s">
        <v>189</v>
      </c>
      <c r="D37" s="41" t="n">
        <v>41140</v>
      </c>
      <c r="E37" s="41" t="n">
        <v>41143</v>
      </c>
      <c r="F37" s="40" t="n">
        <v>448</v>
      </c>
      <c r="G37" s="40" t="s">
        <v>24</v>
      </c>
      <c r="H37" s="42" t="n">
        <v>6</v>
      </c>
      <c r="I37" s="37" t="e">
        <f aca="false">NA()</f>
        <v>#N/A</v>
      </c>
      <c r="J37" s="37" t="str">
        <f aca="false">B37</f>
        <v>Hannah Arendt</v>
      </c>
    </row>
    <row r="38" customFormat="false" ht="12" hidden="false" customHeight="true" outlineLevel="0" collapsed="false">
      <c r="A38" s="44" t="s">
        <v>429</v>
      </c>
      <c r="B38" s="44" t="s">
        <v>272</v>
      </c>
      <c r="C38" s="44" t="s">
        <v>189</v>
      </c>
      <c r="D38" s="41" t="n">
        <v>41143</v>
      </c>
      <c r="E38" s="41" t="n">
        <v>41144</v>
      </c>
      <c r="F38" s="40" t="n">
        <v>313</v>
      </c>
      <c r="G38" s="40" t="s">
        <v>10</v>
      </c>
      <c r="H38" s="42" t="n">
        <v>7.5</v>
      </c>
      <c r="I38" s="37" t="e">
        <f aca="false">NA()</f>
        <v>#N/A</v>
      </c>
      <c r="J38" s="37" t="str">
        <f aca="false">B38</f>
        <v>Lois Mcmaster Bujold</v>
      </c>
    </row>
    <row r="39" customFormat="false" ht="12" hidden="false" customHeight="true" outlineLevel="0" collapsed="false">
      <c r="A39" s="44" t="s">
        <v>430</v>
      </c>
      <c r="B39" s="44" t="s">
        <v>272</v>
      </c>
      <c r="C39" s="44" t="s">
        <v>189</v>
      </c>
      <c r="D39" s="41" t="n">
        <v>41144</v>
      </c>
      <c r="E39" s="41" t="n">
        <v>41147</v>
      </c>
      <c r="F39" s="40" t="n">
        <v>448</v>
      </c>
      <c r="G39" s="40" t="s">
        <v>10</v>
      </c>
      <c r="H39" s="42" t="n">
        <v>7</v>
      </c>
      <c r="I39" s="37" t="e">
        <f aca="false">NA()</f>
        <v>#N/A</v>
      </c>
      <c r="J39" s="37" t="str">
        <f aca="false">B39</f>
        <v>Lois Mcmaster Bujold</v>
      </c>
    </row>
    <row r="40" customFormat="false" ht="12" hidden="false" customHeight="true" outlineLevel="0" collapsed="false">
      <c r="A40" s="44" t="s">
        <v>431</v>
      </c>
      <c r="B40" s="44" t="s">
        <v>432</v>
      </c>
      <c r="C40" s="44" t="s">
        <v>189</v>
      </c>
      <c r="D40" s="41" t="n">
        <v>41147</v>
      </c>
      <c r="E40" s="41" t="n">
        <v>41156</v>
      </c>
      <c r="F40" s="40" t="n">
        <v>547</v>
      </c>
      <c r="G40" s="40" t="s">
        <v>58</v>
      </c>
      <c r="H40" s="42" t="n">
        <v>6</v>
      </c>
      <c r="I40" s="37" t="e">
        <f aca="false">NA()</f>
        <v>#N/A</v>
      </c>
      <c r="J40" s="37" t="str">
        <f aca="false">B40</f>
        <v>Ian Grey</v>
      </c>
    </row>
    <row r="41" customFormat="false" ht="12" hidden="false" customHeight="true" outlineLevel="0" collapsed="false">
      <c r="A41" s="44" t="s">
        <v>433</v>
      </c>
      <c r="B41" s="44" t="s">
        <v>434</v>
      </c>
      <c r="C41" s="44" t="s">
        <v>189</v>
      </c>
      <c r="D41" s="41" t="n">
        <v>41156</v>
      </c>
      <c r="E41" s="41" t="n">
        <v>41163</v>
      </c>
      <c r="F41" s="40" t="n">
        <v>477</v>
      </c>
      <c r="G41" s="40" t="s">
        <v>10</v>
      </c>
      <c r="H41" s="42" t="n">
        <v>8</v>
      </c>
      <c r="I41" s="37" t="e">
        <f aca="false">NA()</f>
        <v>#N/A</v>
      </c>
      <c r="J41" s="37" t="str">
        <f aca="false">B41</f>
        <v>Neil Gaiman</v>
      </c>
    </row>
    <row r="42" customFormat="false" ht="12" hidden="false" customHeight="true" outlineLevel="0" collapsed="false">
      <c r="A42" s="46" t="s">
        <v>435</v>
      </c>
      <c r="B42" s="46" t="s">
        <v>436</v>
      </c>
      <c r="C42" s="46" t="s">
        <v>189</v>
      </c>
      <c r="D42" s="46" t="n">
        <v>41163</v>
      </c>
      <c r="E42" s="46"/>
      <c r="F42" s="47" t="n">
        <v>304</v>
      </c>
      <c r="G42" s="47" t="s">
        <v>10</v>
      </c>
      <c r="H42" s="48"/>
      <c r="I42" s="37" t="e">
        <f aca="false">NA()</f>
        <v>#N/A</v>
      </c>
      <c r="J42" s="37" t="str">
        <f aca="false">B42</f>
        <v>Olaf Stapledon</v>
      </c>
    </row>
    <row r="43" customFormat="false" ht="12" hidden="false" customHeight="true" outlineLevel="0" collapsed="false">
      <c r="A43" s="44" t="s">
        <v>437</v>
      </c>
      <c r="B43" s="44" t="s">
        <v>73</v>
      </c>
      <c r="C43" s="44" t="s">
        <v>189</v>
      </c>
      <c r="D43" s="44" t="n">
        <v>41167</v>
      </c>
      <c r="E43" s="44" t="n">
        <v>41175</v>
      </c>
      <c r="F43" s="40" t="n">
        <v>360</v>
      </c>
      <c r="G43" s="40" t="s">
        <v>10</v>
      </c>
      <c r="H43" s="42" t="n">
        <v>7.5</v>
      </c>
      <c r="I43" s="37" t="e">
        <f aca="false">NA()</f>
        <v>#N/A</v>
      </c>
      <c r="J43" s="37" t="str">
        <f aca="false">B43</f>
        <v>Nick Hornby</v>
      </c>
    </row>
    <row r="44" customFormat="false" ht="12" hidden="false" customHeight="true" outlineLevel="0" collapsed="false">
      <c r="A44" s="44" t="s">
        <v>157</v>
      </c>
      <c r="B44" s="44" t="s">
        <v>158</v>
      </c>
      <c r="C44" s="44" t="s">
        <v>33</v>
      </c>
      <c r="D44" s="44" t="n">
        <v>41168</v>
      </c>
      <c r="E44" s="44" t="n">
        <v>41216</v>
      </c>
      <c r="F44" s="40" t="n">
        <v>160</v>
      </c>
      <c r="G44" s="40" t="s">
        <v>10</v>
      </c>
      <c r="H44" s="42" t="n">
        <v>7.5</v>
      </c>
      <c r="I44" s="37" t="e">
        <f aca="false">NA()</f>
        <v>#N/A</v>
      </c>
      <c r="J44" s="37" t="str">
        <f aca="false">B44</f>
        <v>Roberto Bolaño</v>
      </c>
    </row>
    <row r="45" customFormat="false" ht="12" hidden="false" customHeight="true" outlineLevel="0" collapsed="false">
      <c r="A45" s="44" t="s">
        <v>438</v>
      </c>
      <c r="B45" s="44" t="s">
        <v>424</v>
      </c>
      <c r="C45" s="44" t="s">
        <v>189</v>
      </c>
      <c r="D45" s="44" t="n">
        <v>41176</v>
      </c>
      <c r="E45" s="44" t="n">
        <v>41186</v>
      </c>
      <c r="F45" s="40" t="n">
        <v>736</v>
      </c>
      <c r="G45" s="40" t="s">
        <v>10</v>
      </c>
      <c r="H45" s="42" t="n">
        <v>7</v>
      </c>
      <c r="I45" s="37" t="e">
        <f aca="false">NA()</f>
        <v>#N/A</v>
      </c>
      <c r="J45" s="37" t="str">
        <f aca="false">B45</f>
        <v>Dan Simmons</v>
      </c>
    </row>
    <row r="46" customFormat="false" ht="12" hidden="false" customHeight="true" outlineLevel="0" collapsed="false">
      <c r="A46" s="44" t="s">
        <v>439</v>
      </c>
      <c r="B46" s="44" t="s">
        <v>368</v>
      </c>
      <c r="C46" s="44" t="s">
        <v>189</v>
      </c>
      <c r="D46" s="44" t="n">
        <v>41187</v>
      </c>
      <c r="E46" s="44" t="n">
        <v>41199</v>
      </c>
      <c r="F46" s="40" t="n">
        <v>288</v>
      </c>
      <c r="G46" s="40" t="s">
        <v>249</v>
      </c>
      <c r="H46" s="42" t="n">
        <v>7.5</v>
      </c>
      <c r="I46" s="37" t="e">
        <f aca="false">NA()</f>
        <v>#N/A</v>
      </c>
      <c r="J46" s="37" t="str">
        <f aca="false">B46</f>
        <v>Irvine Welsh</v>
      </c>
    </row>
    <row r="47" customFormat="false" ht="12" hidden="false" customHeight="true" outlineLevel="0" collapsed="false">
      <c r="A47" s="44" t="s">
        <v>440</v>
      </c>
      <c r="B47" s="44" t="s">
        <v>441</v>
      </c>
      <c r="C47" s="44" t="s">
        <v>189</v>
      </c>
      <c r="D47" s="44" t="n">
        <v>41200</v>
      </c>
      <c r="E47" s="44" t="n">
        <v>41203</v>
      </c>
      <c r="F47" s="40" t="n">
        <v>368</v>
      </c>
      <c r="G47" s="40" t="s">
        <v>10</v>
      </c>
      <c r="H47" s="42" t="n">
        <v>8</v>
      </c>
      <c r="I47" s="37" t="e">
        <f aca="false">NA()</f>
        <v>#N/A</v>
      </c>
      <c r="J47" s="37" t="str">
        <f aca="false">B47</f>
        <v>Javier Calvo</v>
      </c>
    </row>
    <row r="48" customFormat="false" ht="12" hidden="false" customHeight="true" outlineLevel="0" collapsed="false">
      <c r="A48" s="44" t="s">
        <v>442</v>
      </c>
      <c r="B48" s="44" t="s">
        <v>443</v>
      </c>
      <c r="C48" s="44" t="s">
        <v>189</v>
      </c>
      <c r="D48" s="44" t="n">
        <v>41203</v>
      </c>
      <c r="E48" s="44" t="n">
        <v>41220</v>
      </c>
      <c r="F48" s="40" t="n">
        <v>744</v>
      </c>
      <c r="G48" s="40" t="s">
        <v>10</v>
      </c>
      <c r="H48" s="42" t="n">
        <v>8</v>
      </c>
      <c r="I48" s="37" t="e">
        <f aca="false">NA()</f>
        <v>#N/A</v>
      </c>
      <c r="J48" s="37" t="str">
        <f aca="false">B48</f>
        <v>Ramiro Pinilla</v>
      </c>
    </row>
    <row r="49" customFormat="false" ht="12" hidden="false" customHeight="true" outlineLevel="0" collapsed="false">
      <c r="A49" s="44" t="s">
        <v>444</v>
      </c>
      <c r="B49" s="44" t="s">
        <v>285</v>
      </c>
      <c r="C49" s="44" t="s">
        <v>33</v>
      </c>
      <c r="D49" s="44" t="n">
        <v>41221</v>
      </c>
      <c r="E49" s="44" t="n">
        <v>41225</v>
      </c>
      <c r="F49" s="40" t="n">
        <v>130</v>
      </c>
      <c r="G49" s="40" t="s">
        <v>286</v>
      </c>
      <c r="H49" s="42" t="n">
        <v>6</v>
      </c>
      <c r="I49" s="37" t="e">
        <f aca="false">NA()</f>
        <v>#N/A</v>
      </c>
      <c r="J49" s="37" t="str">
        <f aca="false">B49</f>
        <v>Varios</v>
      </c>
    </row>
    <row r="50" customFormat="false" ht="12" hidden="false" customHeight="true" outlineLevel="0" collapsed="false">
      <c r="A50" s="44" t="s">
        <v>445</v>
      </c>
      <c r="B50" s="44" t="s">
        <v>446</v>
      </c>
      <c r="C50" s="44" t="s">
        <v>189</v>
      </c>
      <c r="D50" s="44" t="n">
        <v>41220</v>
      </c>
      <c r="E50" s="44" t="n">
        <v>41227</v>
      </c>
      <c r="F50" s="40" t="n">
        <v>256</v>
      </c>
      <c r="G50" s="40" t="s">
        <v>218</v>
      </c>
      <c r="H50" s="42" t="n">
        <v>6.5</v>
      </c>
      <c r="I50" s="37" t="e">
        <f aca="false">NA()</f>
        <v>#N/A</v>
      </c>
      <c r="J50" s="37" t="str">
        <f aca="false">B50</f>
        <v>Carlos Lencero</v>
      </c>
    </row>
    <row r="51" customFormat="false" ht="12" hidden="false" customHeight="true" outlineLevel="0" collapsed="false">
      <c r="A51" s="44" t="s">
        <v>447</v>
      </c>
      <c r="B51" s="44" t="s">
        <v>174</v>
      </c>
      <c r="C51" s="44" t="s">
        <v>189</v>
      </c>
      <c r="D51" s="44" t="n">
        <v>41231</v>
      </c>
      <c r="E51" s="44" t="n">
        <v>41239</v>
      </c>
      <c r="F51" s="40" t="n">
        <v>272</v>
      </c>
      <c r="G51" s="40" t="s">
        <v>10</v>
      </c>
      <c r="H51" s="42" t="n">
        <v>5</v>
      </c>
      <c r="I51" s="37" t="e">
        <f aca="false">NA()</f>
        <v>#N/A</v>
      </c>
      <c r="J51" s="37" t="str">
        <f aca="false">B51</f>
        <v>Chuck Palahniuk</v>
      </c>
    </row>
    <row r="52" customFormat="false" ht="12" hidden="false" customHeight="true" outlineLevel="0" collapsed="false">
      <c r="A52" s="44" t="s">
        <v>448</v>
      </c>
      <c r="B52" s="44" t="s">
        <v>407</v>
      </c>
      <c r="C52" s="44" t="s">
        <v>189</v>
      </c>
      <c r="D52" s="44" t="n">
        <v>41240</v>
      </c>
      <c r="E52" s="44" t="n">
        <v>41247</v>
      </c>
      <c r="F52" s="40" t="n">
        <v>250</v>
      </c>
      <c r="G52" s="40" t="s">
        <v>10</v>
      </c>
      <c r="H52" s="42" t="n">
        <v>6</v>
      </c>
      <c r="I52" s="37" t="e">
        <f aca="false">NA()</f>
        <v>#N/A</v>
      </c>
      <c r="J52" s="37" t="str">
        <f aca="false">B52</f>
        <v>Jack Vance</v>
      </c>
    </row>
    <row r="53" customFormat="false" ht="12" hidden="false" customHeight="true" outlineLevel="0" collapsed="false">
      <c r="A53" s="44" t="s">
        <v>449</v>
      </c>
      <c r="B53" s="44" t="s">
        <v>441</v>
      </c>
      <c r="C53" s="44" t="s">
        <v>189</v>
      </c>
      <c r="D53" s="44" t="n">
        <v>41248</v>
      </c>
      <c r="E53" s="44" t="n">
        <v>41258</v>
      </c>
      <c r="F53" s="40" t="n">
        <v>320</v>
      </c>
      <c r="G53" s="40" t="s">
        <v>10</v>
      </c>
      <c r="H53" s="42" t="n">
        <v>7.6</v>
      </c>
      <c r="I53" s="37" t="e">
        <f aca="false">NA()</f>
        <v>#N/A</v>
      </c>
      <c r="J53" s="37" t="str">
        <f aca="false">B53</f>
        <v>Javier Calvo</v>
      </c>
    </row>
    <row r="54" customFormat="false" ht="12" hidden="false" customHeight="true" outlineLevel="0" collapsed="false">
      <c r="A54" s="44" t="s">
        <v>450</v>
      </c>
      <c r="B54" s="44" t="s">
        <v>451</v>
      </c>
      <c r="C54" s="44" t="s">
        <v>189</v>
      </c>
      <c r="D54" s="44" t="n">
        <v>41258</v>
      </c>
      <c r="E54" s="44" t="n">
        <v>41264</v>
      </c>
      <c r="F54" s="40" t="n">
        <v>384</v>
      </c>
      <c r="G54" s="40" t="s">
        <v>10</v>
      </c>
      <c r="H54" s="42" t="n">
        <v>7</v>
      </c>
      <c r="I54" s="37" t="e">
        <f aca="false">NA()</f>
        <v>#N/A</v>
      </c>
      <c r="J54" s="37" t="str">
        <f aca="false">B54</f>
        <v>Cory Doctorow</v>
      </c>
    </row>
    <row r="55" customFormat="false" ht="12" hidden="false" customHeight="true" outlineLevel="0" collapsed="false">
      <c r="F55" s="32" t="n">
        <f aca="false">SUM(F2:F54)</f>
        <v>19868</v>
      </c>
      <c r="G55" s="33"/>
      <c r="H55" s="34" t="n">
        <f aca="false">AVERAGE(H2:H54)</f>
        <v>6.9</v>
      </c>
    </row>
    <row r="56" customFormat="false" ht="12" hidden="false" customHeight="true" outlineLevel="0" collapsed="false">
      <c r="A56" s="24" t="s">
        <v>275</v>
      </c>
    </row>
    <row r="57" customFormat="false" ht="24" hidden="false" customHeight="true" outlineLevel="0" collapsed="false">
      <c r="A57" s="6" t="s">
        <v>277</v>
      </c>
      <c r="B57" s="6" t="s">
        <v>278</v>
      </c>
      <c r="C57" s="6" t="s">
        <v>279</v>
      </c>
      <c r="D57" s="6" t="s">
        <v>280</v>
      </c>
    </row>
    <row r="58" customFormat="false" ht="12" hidden="false" customHeight="true" outlineLevel="0" collapsed="false">
      <c r="A58" s="6" t="n">
        <f aca="false">COUNTIF(E2:E54,"&gt;0")</f>
        <v>52</v>
      </c>
      <c r="B58" s="6" t="n">
        <f aca="false">ROUND(F55/A58,0)</f>
        <v>382</v>
      </c>
      <c r="C58" s="6" t="e">
        <f aca="false">INDEX(J2:J54,MATCH(MAX(I2:I54),I2:I54,0),1)</f>
        <v>#N/A</v>
      </c>
      <c r="D58" s="6"/>
    </row>
  </sheetData>
  <conditionalFormatting sqref="A57:D58">
    <cfRule type="expression" priority="2" aboveAverage="0" equalAverage="0" bottom="0" percent="0" rank="0" text="" dxfId="8">
      <formula>ISBLANK($D65425)</formula>
    </cfRule>
    <cfRule type="expression" priority="3" aboveAverage="0" equalAverage="0" bottom="0" percent="0" rank="0" text="" dxfId="9">
      <formula>IF($D65425&lt;&gt;" ",TRUE(),FALSE())</formula>
    </cfRule>
  </conditionalFormatting>
  <conditionalFormatting sqref="A3:H3">
    <cfRule type="expression" priority="4" aboveAverage="0" equalAverage="0" bottom="0" percent="0" rank="0" text="" dxfId="10">
      <formula>ISBLANK($E$14)</formula>
    </cfRule>
  </conditionalFormatting>
  <conditionalFormatting sqref="A2:H2 F43:F54 H43:H54">
    <cfRule type="expression" priority="5" aboveAverage="0" equalAverage="0" bottom="0" percent="0" rank="0" text="" dxfId="11">
      <formula>ISBLANK($E$13)</formula>
    </cfRule>
  </conditionalFormatting>
  <conditionalFormatting sqref="A4:H4">
    <cfRule type="expression" priority="6" aboveAverage="0" equalAverage="0" bottom="0" percent="0" rank="0" text="" dxfId="12">
      <formula>ISBLANK($E$15)</formula>
    </cfRule>
  </conditionalFormatting>
  <conditionalFormatting sqref="A5:H5">
    <cfRule type="expression" priority="7" aboveAverage="0" equalAverage="0" bottom="0" percent="0" rank="0" text="" dxfId="13">
      <formula>ISBLANK($E$16)</formula>
    </cfRule>
  </conditionalFormatting>
  <conditionalFormatting sqref="A6:H6">
    <cfRule type="expression" priority="8" aboveAverage="0" equalAverage="0" bottom="0" percent="0" rank="0" text="" dxfId="14">
      <formula>ISBLANK($E$17)</formula>
    </cfRule>
  </conditionalFormatting>
  <conditionalFormatting sqref="A7:H7">
    <cfRule type="expression" priority="9" aboveAverage="0" equalAverage="0" bottom="0" percent="0" rank="0" text="" dxfId="15">
      <formula>ISBLANK($E$18)</formula>
    </cfRule>
  </conditionalFormatting>
  <conditionalFormatting sqref="A8:H8">
    <cfRule type="expression" priority="10" aboveAverage="0" equalAverage="0" bottom="0" percent="0" rank="0" text="" dxfId="16">
      <formula>ISBLANK($E$19)</formula>
    </cfRule>
  </conditionalFormatting>
  <conditionalFormatting sqref="A9:H9">
    <cfRule type="expression" priority="11" aboveAverage="0" equalAverage="0" bottom="0" percent="0" rank="0" text="" dxfId="17">
      <formula>ISBLANK($E$20)</formula>
    </cfRule>
  </conditionalFormatting>
  <conditionalFormatting sqref="A10:H10">
    <cfRule type="expression" priority="12" aboveAverage="0" equalAverage="0" bottom="0" percent="0" rank="0" text="" dxfId="18">
      <formula>ISBLANK($E$21)</formula>
    </cfRule>
  </conditionalFormatting>
  <conditionalFormatting sqref="A11:H11">
    <cfRule type="expression" priority="13" aboveAverage="0" equalAverage="0" bottom="0" percent="0" rank="0" text="" dxfId="19">
      <formula>ISBLANK($E$22)</formula>
    </cfRule>
  </conditionalFormatting>
  <conditionalFormatting sqref="A12:H12">
    <cfRule type="expression" priority="14" aboveAverage="0" equalAverage="0" bottom="0" percent="0" rank="0" text="" dxfId="20">
      <formula>ISBLANK($E$23)</formula>
    </cfRule>
  </conditionalFormatting>
  <conditionalFormatting sqref="A13:F13 A19:A41 A43:E54 B19:B28 B30:B41 C19:C41">
    <cfRule type="expression" priority="15" aboveAverage="0" equalAverage="0" bottom="0" percent="0" rank="0" text="" dxfId="21">
      <formula>ISBLANK(E$24)</formula>
    </cfRule>
  </conditionalFormatting>
  <conditionalFormatting sqref="G13:H13">
    <cfRule type="expression" priority="16" aboveAverage="0" equalAverage="0" bottom="0" percent="0" rank="0" text="" dxfId="22">
      <formula>ISBLANK(F12)</formula>
    </cfRule>
  </conditionalFormatting>
  <conditionalFormatting sqref="A14:H14">
    <cfRule type="expression" priority="17" aboveAverage="0" equalAverage="0" bottom="0" percent="0" rank="0" text="" dxfId="23">
      <formula>ISBLANK(F$25)</formula>
    </cfRule>
  </conditionalFormatting>
  <conditionalFormatting sqref="A15:F15 G15:H18">
    <cfRule type="expression" priority="18" aboveAverage="0" equalAverage="0" bottom="0" percent="0" rank="0" text="" dxfId="24">
      <formula>ISBLANK(F$26)</formula>
    </cfRule>
  </conditionalFormatting>
  <conditionalFormatting sqref="A16:F18">
    <cfRule type="expression" priority="19" aboveAverage="0" equalAverage="0" bottom="0" percent="0" rank="0" text="" dxfId="25">
      <formula>ISBLANK(E$27)</formula>
    </cfRule>
  </conditionalFormatting>
  <conditionalFormatting sqref="G19:G41">
    <cfRule type="expression" priority="20" aboveAverage="0" equalAverage="0" bottom="0" percent="0" rank="0" text="" dxfId="26">
      <formula>ISBLANK(L$26)</formula>
    </cfRule>
  </conditionalFormatting>
  <conditionalFormatting sqref="G43:G54">
    <cfRule type="expression" priority="21" aboveAverage="0" equalAverage="0" bottom="0" percent="0" rank="0" text="" dxfId="27">
      <formula>ISBLANK(L$26)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false" showOutlineSymbols="true" defaultGridColor="true" view="normal" topLeftCell="A22" colorId="64" zoomScale="110" zoomScaleNormal="110" zoomScalePageLayoutView="100" workbookViewId="0">
      <selection pane="topLeft" activeCell="A35" activeCellId="0" sqref="A35"/>
    </sheetView>
  </sheetViews>
  <sheetFormatPr defaultColWidth="10.5" defaultRowHeight="12" zeroHeight="false" outlineLevelRow="0" outlineLevelCol="0"/>
  <cols>
    <col collapsed="false" customWidth="true" hidden="false" outlineLevel="0" max="1" min="1" style="0" width="41.49"/>
    <col collapsed="false" customWidth="true" hidden="false" outlineLevel="0" max="2" min="2" style="0" width="21.5"/>
    <col collapsed="false" customWidth="true" hidden="false" outlineLevel="0" max="3" min="3" style="0" width="9.49"/>
    <col collapsed="false" customWidth="true" hidden="false" outlineLevel="0" max="8" min="8" style="0" width="22.49"/>
    <col collapsed="false" customWidth="false" hidden="true" outlineLevel="0" max="10" min="9" style="0" width="10.5"/>
  </cols>
  <sheetData>
    <row r="1" s="6" customFormat="true" ht="12.75" hidden="false" customHeight="true" outlineLevel="0" collapsed="false">
      <c r="A1" s="24" t="s">
        <v>0</v>
      </c>
      <c r="B1" s="25" t="s">
        <v>1</v>
      </c>
      <c r="C1" s="25" t="s">
        <v>2</v>
      </c>
      <c r="D1" s="26" t="s">
        <v>3</v>
      </c>
      <c r="E1" s="27" t="s">
        <v>4</v>
      </c>
      <c r="F1" s="26" t="s">
        <v>5</v>
      </c>
      <c r="G1" s="27" t="s">
        <v>6</v>
      </c>
      <c r="H1" s="28" t="s">
        <v>7</v>
      </c>
      <c r="I1" s="35" t="s">
        <v>281</v>
      </c>
      <c r="J1" s="36" t="s">
        <v>1</v>
      </c>
    </row>
    <row r="2" customFormat="false" ht="12" hidden="false" customHeight="true" outlineLevel="0" collapsed="false">
      <c r="A2" s="49" t="s">
        <v>452</v>
      </c>
      <c r="B2" s="49" t="s">
        <v>453</v>
      </c>
      <c r="C2" s="49" t="s">
        <v>70</v>
      </c>
      <c r="D2" s="49" t="n">
        <v>40150</v>
      </c>
      <c r="E2" s="49"/>
      <c r="F2" s="50" t="n">
        <v>222</v>
      </c>
      <c r="G2" s="50" t="s">
        <v>10</v>
      </c>
      <c r="H2" s="51" t="s">
        <v>110</v>
      </c>
      <c r="I2" s="37" t="e">
        <f aca="false">NA()</f>
        <v>#N/A</v>
      </c>
      <c r="J2" s="37" t="str">
        <f aca="false">B2</f>
        <v>Juan Rulfo</v>
      </c>
    </row>
    <row r="3" customFormat="false" ht="12" hidden="false" customHeight="true" outlineLevel="0" collapsed="false">
      <c r="A3" s="49" t="s">
        <v>454</v>
      </c>
      <c r="B3" s="49" t="s">
        <v>455</v>
      </c>
      <c r="C3" s="49" t="s">
        <v>33</v>
      </c>
      <c r="D3" s="49" t="n">
        <v>40261</v>
      </c>
      <c r="E3" s="49"/>
      <c r="F3" s="50" t="n">
        <v>910</v>
      </c>
      <c r="G3" s="50" t="s">
        <v>10</v>
      </c>
      <c r="H3" s="51" t="s">
        <v>110</v>
      </c>
      <c r="I3" s="37" t="e">
        <f aca="false">NA()</f>
        <v>#N/A</v>
      </c>
      <c r="J3" s="37" t="str">
        <f aca="false">B3</f>
        <v>James Joyce</v>
      </c>
    </row>
    <row r="4" customFormat="false" ht="12" hidden="false" customHeight="true" outlineLevel="0" collapsed="false">
      <c r="A4" s="49" t="s">
        <v>456</v>
      </c>
      <c r="B4" s="49" t="s">
        <v>457</v>
      </c>
      <c r="C4" s="49" t="s">
        <v>189</v>
      </c>
      <c r="D4" s="49" t="n">
        <v>40282</v>
      </c>
      <c r="E4" s="49"/>
      <c r="F4" s="50" t="n">
        <v>480</v>
      </c>
      <c r="G4" s="50" t="s">
        <v>10</v>
      </c>
      <c r="H4" s="51" t="s">
        <v>110</v>
      </c>
      <c r="I4" s="37" t="e">
        <f aca="false">NA()</f>
        <v>#N/A</v>
      </c>
      <c r="J4" s="37" t="str">
        <f aca="false">B4</f>
        <v>Ambrose Bierce</v>
      </c>
    </row>
    <row r="5" customFormat="false" ht="12" hidden="false" customHeight="true" outlineLevel="0" collapsed="false">
      <c r="A5" s="49" t="s">
        <v>458</v>
      </c>
      <c r="B5" s="49" t="s">
        <v>459</v>
      </c>
      <c r="C5" s="49" t="s">
        <v>189</v>
      </c>
      <c r="D5" s="49" t="n">
        <v>40296</v>
      </c>
      <c r="E5" s="49"/>
      <c r="F5" s="50" t="n">
        <v>209</v>
      </c>
      <c r="G5" s="50" t="s">
        <v>10</v>
      </c>
      <c r="H5" s="51" t="s">
        <v>110</v>
      </c>
      <c r="I5" s="37" t="e">
        <f aca="false">NA()</f>
        <v>#N/A</v>
      </c>
      <c r="J5" s="37" t="str">
        <f aca="false">B5</f>
        <v>Dalton Trumbo</v>
      </c>
    </row>
    <row r="6" customFormat="false" ht="12" hidden="false" customHeight="true" outlineLevel="0" collapsed="false">
      <c r="A6" s="49" t="s">
        <v>460</v>
      </c>
      <c r="B6" s="49" t="s">
        <v>461</v>
      </c>
      <c r="C6" s="49" t="s">
        <v>189</v>
      </c>
      <c r="D6" s="49" t="n">
        <v>40366</v>
      </c>
      <c r="E6" s="49"/>
      <c r="F6" s="50" t="n">
        <v>160</v>
      </c>
      <c r="G6" s="50" t="s">
        <v>24</v>
      </c>
      <c r="H6" s="51" t="s">
        <v>110</v>
      </c>
      <c r="I6" s="37" t="e">
        <f aca="false">NA()</f>
        <v>#N/A</v>
      </c>
      <c r="J6" s="37" t="str">
        <f aca="false">B6</f>
        <v>Michel Dansel</v>
      </c>
    </row>
    <row r="7" customFormat="false" ht="12" hidden="false" customHeight="true" outlineLevel="0" collapsed="false">
      <c r="A7" s="49" t="s">
        <v>462</v>
      </c>
      <c r="B7" s="49" t="s">
        <v>285</v>
      </c>
      <c r="C7" s="49" t="s">
        <v>33</v>
      </c>
      <c r="D7" s="49" t="n">
        <v>40373</v>
      </c>
      <c r="E7" s="49"/>
      <c r="F7" s="50" t="n">
        <v>502</v>
      </c>
      <c r="G7" s="50" t="s">
        <v>24</v>
      </c>
      <c r="H7" s="51" t="s">
        <v>110</v>
      </c>
      <c r="I7" s="37" t="e">
        <f aca="false">NA()</f>
        <v>#N/A</v>
      </c>
      <c r="J7" s="37" t="str">
        <f aca="false">B7</f>
        <v>Varios</v>
      </c>
    </row>
    <row r="8" customFormat="false" ht="12" hidden="false" customHeight="true" outlineLevel="0" collapsed="false">
      <c r="A8" s="49" t="s">
        <v>463</v>
      </c>
      <c r="B8" s="49" t="s">
        <v>464</v>
      </c>
      <c r="C8" s="49" t="s">
        <v>189</v>
      </c>
      <c r="D8" s="49" t="n">
        <v>40385</v>
      </c>
      <c r="E8" s="49"/>
      <c r="F8" s="50" t="n">
        <v>384</v>
      </c>
      <c r="G8" s="50" t="s">
        <v>58</v>
      </c>
      <c r="H8" s="51" t="s">
        <v>110</v>
      </c>
      <c r="I8" s="37" t="e">
        <f aca="false">NA()</f>
        <v>#N/A</v>
      </c>
      <c r="J8" s="37" t="str">
        <f aca="false">B8</f>
        <v>Primitivo Martínez</v>
      </c>
    </row>
    <row r="9" customFormat="false" ht="12" hidden="false" customHeight="true" outlineLevel="0" collapsed="false">
      <c r="A9" s="49" t="s">
        <v>465</v>
      </c>
      <c r="B9" s="49" t="s">
        <v>466</v>
      </c>
      <c r="C9" s="49" t="s">
        <v>189</v>
      </c>
      <c r="D9" s="49" t="n">
        <v>40438</v>
      </c>
      <c r="E9" s="49"/>
      <c r="F9" s="50" t="n">
        <v>300</v>
      </c>
      <c r="G9" s="50" t="s">
        <v>202</v>
      </c>
      <c r="H9" s="51" t="s">
        <v>110</v>
      </c>
      <c r="I9" s="37" t="e">
        <f aca="false">NA()</f>
        <v>#N/A</v>
      </c>
      <c r="J9" s="37" t="str">
        <f aca="false">B9</f>
        <v>Richard Leakey</v>
      </c>
    </row>
    <row r="10" customFormat="false" ht="12" hidden="false" customHeight="true" outlineLevel="0" collapsed="false">
      <c r="A10" s="49" t="s">
        <v>467</v>
      </c>
      <c r="B10" s="49" t="s">
        <v>468</v>
      </c>
      <c r="C10" s="49" t="s">
        <v>33</v>
      </c>
      <c r="D10" s="49"/>
      <c r="E10" s="49"/>
      <c r="F10" s="50" t="n">
        <v>338</v>
      </c>
      <c r="G10" s="50" t="s">
        <v>10</v>
      </c>
      <c r="H10" s="51" t="s">
        <v>110</v>
      </c>
      <c r="I10" s="37" t="e">
        <f aca="false">NA()</f>
        <v>#N/A</v>
      </c>
      <c r="J10" s="37" t="str">
        <f aca="false">B10</f>
        <v>Paul Auster</v>
      </c>
    </row>
    <row r="11" customFormat="false" ht="12" hidden="false" customHeight="true" outlineLevel="0" collapsed="false">
      <c r="A11" s="49" t="s">
        <v>469</v>
      </c>
      <c r="B11" s="49" t="s">
        <v>470</v>
      </c>
      <c r="C11" s="49" t="s">
        <v>189</v>
      </c>
      <c r="D11" s="49" t="n">
        <v>40655</v>
      </c>
      <c r="E11" s="49"/>
      <c r="F11" s="50" t="n">
        <v>300</v>
      </c>
      <c r="G11" s="50" t="s">
        <v>24</v>
      </c>
      <c r="H11" s="51" t="s">
        <v>110</v>
      </c>
      <c r="I11" s="37" t="e">
        <f aca="false">NA()</f>
        <v>#N/A</v>
      </c>
      <c r="J11" s="37" t="str">
        <f aca="false">B11</f>
        <v>Umberto Eco</v>
      </c>
    </row>
    <row r="12" customFormat="false" ht="12" hidden="false" customHeight="true" outlineLevel="0" collapsed="false">
      <c r="A12" s="49" t="s">
        <v>471</v>
      </c>
      <c r="B12" s="49" t="s">
        <v>472</v>
      </c>
      <c r="C12" s="49" t="s">
        <v>33</v>
      </c>
      <c r="D12" s="49" t="n">
        <v>40736</v>
      </c>
      <c r="E12" s="49"/>
      <c r="F12" s="50" t="n">
        <v>144</v>
      </c>
      <c r="G12" s="50" t="s">
        <v>24</v>
      </c>
      <c r="H12" s="51" t="s">
        <v>110</v>
      </c>
      <c r="I12" s="37" t="e">
        <f aca="false">NA()</f>
        <v>#N/A</v>
      </c>
      <c r="J12" s="37" t="str">
        <f aca="false">B12</f>
        <v>Comité invisible</v>
      </c>
    </row>
    <row r="13" customFormat="false" ht="12" hidden="false" customHeight="true" outlineLevel="0" collapsed="false">
      <c r="A13" s="44" t="s">
        <v>473</v>
      </c>
      <c r="B13" s="44" t="s">
        <v>285</v>
      </c>
      <c r="C13" s="44" t="s">
        <v>33</v>
      </c>
      <c r="D13" s="44" t="n">
        <v>41084</v>
      </c>
      <c r="E13" s="44" t="n">
        <v>41365</v>
      </c>
      <c r="F13" s="40" t="n">
        <v>319</v>
      </c>
      <c r="G13" s="40" t="s">
        <v>286</v>
      </c>
      <c r="H13" s="42" t="n">
        <v>8</v>
      </c>
      <c r="I13" s="37" t="e">
        <f aca="false">NA()</f>
        <v>#N/A</v>
      </c>
      <c r="J13" s="37" t="str">
        <f aca="false">B13</f>
        <v>Varios</v>
      </c>
    </row>
    <row r="14" customFormat="false" ht="12" hidden="false" customHeight="true" outlineLevel="0" collapsed="false">
      <c r="A14" s="44" t="s">
        <v>474</v>
      </c>
      <c r="B14" s="44" t="s">
        <v>475</v>
      </c>
      <c r="C14" s="44" t="s">
        <v>33</v>
      </c>
      <c r="D14" s="44" t="n">
        <v>41217</v>
      </c>
      <c r="E14" s="44" t="n">
        <v>41319</v>
      </c>
      <c r="F14" s="40" t="n">
        <v>557</v>
      </c>
      <c r="G14" s="40" t="s">
        <v>58</v>
      </c>
      <c r="H14" s="42" t="n">
        <v>7</v>
      </c>
      <c r="I14" s="37" t="e">
        <f aca="false">NA()</f>
        <v>#N/A</v>
      </c>
      <c r="J14" s="37" t="str">
        <f aca="false">B14</f>
        <v>Jon Latimer</v>
      </c>
    </row>
    <row r="15" customFormat="false" ht="12" hidden="false" customHeight="true" outlineLevel="0" collapsed="false">
      <c r="A15" s="44" t="s">
        <v>476</v>
      </c>
      <c r="B15" s="44" t="s">
        <v>477</v>
      </c>
      <c r="C15" s="44" t="s">
        <v>189</v>
      </c>
      <c r="D15" s="44" t="n">
        <v>41265</v>
      </c>
      <c r="E15" s="44" t="n">
        <v>41282</v>
      </c>
      <c r="F15" s="40" t="n">
        <v>304</v>
      </c>
      <c r="G15" s="40" t="s">
        <v>58</v>
      </c>
      <c r="H15" s="42" t="n">
        <v>8</v>
      </c>
      <c r="I15" s="37" t="e">
        <f aca="false">NA()</f>
        <v>#N/A</v>
      </c>
      <c r="J15" s="37" t="str">
        <f aca="false">B15</f>
        <v>David Finkel</v>
      </c>
    </row>
    <row r="16" customFormat="false" ht="12" hidden="false" customHeight="true" outlineLevel="0" collapsed="false">
      <c r="A16" s="44" t="s">
        <v>478</v>
      </c>
      <c r="B16" s="44" t="s">
        <v>208</v>
      </c>
      <c r="C16" s="44" t="s">
        <v>189</v>
      </c>
      <c r="D16" s="44" t="n">
        <v>41282</v>
      </c>
      <c r="E16" s="44" t="n">
        <v>41307</v>
      </c>
      <c r="F16" s="40" t="n">
        <v>992</v>
      </c>
      <c r="G16" s="40" t="s">
        <v>10</v>
      </c>
      <c r="H16" s="42" t="n">
        <v>8</v>
      </c>
      <c r="I16" s="37" t="e">
        <f aca="false">NA()</f>
        <v>#N/A</v>
      </c>
      <c r="J16" s="37" t="str">
        <f aca="false">B16</f>
        <v>Neal Stephenson</v>
      </c>
    </row>
    <row r="17" customFormat="false" ht="12" hidden="false" customHeight="true" outlineLevel="0" collapsed="false">
      <c r="A17" s="44" t="s">
        <v>479</v>
      </c>
      <c r="B17" s="44" t="s">
        <v>158</v>
      </c>
      <c r="C17" s="44" t="s">
        <v>33</v>
      </c>
      <c r="D17" s="44" t="n">
        <v>41320</v>
      </c>
      <c r="E17" s="44" t="n">
        <v>41333</v>
      </c>
      <c r="F17" s="40" t="n">
        <v>368</v>
      </c>
      <c r="G17" s="40" t="s">
        <v>10</v>
      </c>
      <c r="H17" s="42" t="n">
        <v>7</v>
      </c>
      <c r="I17" s="37" t="e">
        <f aca="false">NA()</f>
        <v>#N/A</v>
      </c>
      <c r="J17" s="37" t="str">
        <f aca="false">B17</f>
        <v>Roberto Bolaño</v>
      </c>
    </row>
    <row r="18" customFormat="false" ht="12" hidden="false" customHeight="true" outlineLevel="0" collapsed="false">
      <c r="A18" s="44" t="s">
        <v>480</v>
      </c>
      <c r="B18" s="44" t="s">
        <v>255</v>
      </c>
      <c r="C18" s="44" t="s">
        <v>33</v>
      </c>
      <c r="D18" s="44" t="n">
        <v>41334</v>
      </c>
      <c r="E18" s="44" t="n">
        <v>41360</v>
      </c>
      <c r="F18" s="40" t="n">
        <v>512</v>
      </c>
      <c r="G18" s="40" t="s">
        <v>10</v>
      </c>
      <c r="H18" s="42" t="n">
        <v>6.5</v>
      </c>
      <c r="I18" s="37" t="e">
        <f aca="false">NA()</f>
        <v>#N/A</v>
      </c>
      <c r="J18" s="37" t="str">
        <f aca="false">B18</f>
        <v>Antonio Luque</v>
      </c>
    </row>
    <row r="19" customFormat="false" ht="12" hidden="false" customHeight="true" outlineLevel="0" collapsed="false">
      <c r="A19" s="44" t="s">
        <v>481</v>
      </c>
      <c r="B19" s="44" t="s">
        <v>402</v>
      </c>
      <c r="C19" s="44" t="s">
        <v>189</v>
      </c>
      <c r="D19" s="44" t="n">
        <v>41361</v>
      </c>
      <c r="E19" s="44" t="n">
        <v>41366</v>
      </c>
      <c r="F19" s="40" t="n">
        <v>144</v>
      </c>
      <c r="G19" s="40" t="s">
        <v>390</v>
      </c>
      <c r="H19" s="42" t="n">
        <v>7</v>
      </c>
      <c r="I19" s="37" t="e">
        <f aca="false">NA()</f>
        <v>#N/A</v>
      </c>
      <c r="J19" s="37" t="str">
        <f aca="false">B19</f>
        <v>William Shakespeare</v>
      </c>
    </row>
    <row r="20" customFormat="false" ht="12" hidden="false" customHeight="true" outlineLevel="0" collapsed="false">
      <c r="A20" s="44" t="s">
        <v>482</v>
      </c>
      <c r="B20" s="44" t="s">
        <v>483</v>
      </c>
      <c r="C20" s="44" t="s">
        <v>189</v>
      </c>
      <c r="D20" s="44" t="n">
        <v>41366</v>
      </c>
      <c r="E20" s="44" t="n">
        <v>41368</v>
      </c>
      <c r="F20" s="40" t="n">
        <v>128</v>
      </c>
      <c r="G20" s="40" t="s">
        <v>390</v>
      </c>
      <c r="H20" s="42" t="n">
        <v>7</v>
      </c>
      <c r="I20" s="37" t="e">
        <f aca="false">NA()</f>
        <v>#N/A</v>
      </c>
      <c r="J20" s="37" t="str">
        <f aca="false">B20</f>
        <v>Moliere</v>
      </c>
    </row>
    <row r="21" customFormat="false" ht="12" hidden="false" customHeight="true" outlineLevel="0" collapsed="false">
      <c r="A21" s="44" t="s">
        <v>484</v>
      </c>
      <c r="B21" s="44" t="s">
        <v>485</v>
      </c>
      <c r="C21" s="44" t="s">
        <v>189</v>
      </c>
      <c r="D21" s="44" t="n">
        <v>41368</v>
      </c>
      <c r="E21" s="44" t="n">
        <v>41379</v>
      </c>
      <c r="F21" s="40" t="n">
        <v>288</v>
      </c>
      <c r="G21" s="40" t="s">
        <v>58</v>
      </c>
      <c r="H21" s="42" t="n">
        <v>5</v>
      </c>
      <c r="I21" s="37" t="e">
        <f aca="false">NA()</f>
        <v>#N/A</v>
      </c>
      <c r="J21" s="37" t="str">
        <f aca="false">B21</f>
        <v>Jenofonte</v>
      </c>
    </row>
    <row r="22" customFormat="false" ht="12" hidden="false" customHeight="true" outlineLevel="0" collapsed="false">
      <c r="A22" s="44" t="s">
        <v>486</v>
      </c>
      <c r="B22" s="44" t="s">
        <v>487</v>
      </c>
      <c r="C22" s="44" t="s">
        <v>189</v>
      </c>
      <c r="D22" s="44" t="n">
        <v>41380</v>
      </c>
      <c r="E22" s="44" t="n">
        <v>41381</v>
      </c>
      <c r="F22" s="40" t="n">
        <v>142</v>
      </c>
      <c r="G22" s="40" t="s">
        <v>58</v>
      </c>
      <c r="H22" s="42" t="n">
        <v>8</v>
      </c>
      <c r="I22" s="37" t="e">
        <f aca="false">NA()</f>
        <v>#N/A</v>
      </c>
      <c r="J22" s="37" t="str">
        <f aca="false">B22</f>
        <v>Peter Funke</v>
      </c>
    </row>
    <row r="23" customFormat="false" ht="12" hidden="false" customHeight="true" outlineLevel="0" collapsed="false">
      <c r="A23" s="44" t="s">
        <v>488</v>
      </c>
      <c r="B23" s="44" t="s">
        <v>489</v>
      </c>
      <c r="C23" s="44" t="s">
        <v>189</v>
      </c>
      <c r="D23" s="44" t="n">
        <v>41382</v>
      </c>
      <c r="E23" s="44" t="n">
        <v>41387</v>
      </c>
      <c r="F23" s="40" t="n">
        <v>200</v>
      </c>
      <c r="G23" s="40" t="s">
        <v>390</v>
      </c>
      <c r="H23" s="42" t="n">
        <v>6</v>
      </c>
      <c r="I23" s="37" t="e">
        <f aca="false">NA()</f>
        <v>#N/A</v>
      </c>
      <c r="J23" s="37" t="str">
        <f aca="false">B23</f>
        <v>Esquilo</v>
      </c>
    </row>
    <row r="24" customFormat="false" ht="12" hidden="false" customHeight="true" outlineLevel="0" collapsed="false">
      <c r="A24" s="44" t="s">
        <v>490</v>
      </c>
      <c r="B24" s="44" t="s">
        <v>226</v>
      </c>
      <c r="C24" s="44" t="s">
        <v>189</v>
      </c>
      <c r="D24" s="44" t="n">
        <v>41387</v>
      </c>
      <c r="E24" s="44" t="n">
        <v>41390</v>
      </c>
      <c r="F24" s="40" t="n">
        <v>480</v>
      </c>
      <c r="G24" s="40" t="s">
        <v>10</v>
      </c>
      <c r="H24" s="42" t="n">
        <v>8.6</v>
      </c>
      <c r="I24" s="37" t="e">
        <f aca="false">NA()</f>
        <v>#N/A</v>
      </c>
      <c r="J24" s="37" t="str">
        <f aca="false">B24</f>
        <v>Max Brooks</v>
      </c>
    </row>
    <row r="25" customFormat="false" ht="12" hidden="false" customHeight="true" outlineLevel="0" collapsed="false">
      <c r="A25" s="44" t="s">
        <v>491</v>
      </c>
      <c r="B25" s="44" t="s">
        <v>492</v>
      </c>
      <c r="C25" s="44" t="s">
        <v>189</v>
      </c>
      <c r="D25" s="44" t="n">
        <v>41391</v>
      </c>
      <c r="E25" s="44" t="n">
        <v>41413</v>
      </c>
      <c r="F25" s="40" t="n">
        <v>800</v>
      </c>
      <c r="G25" s="40" t="s">
        <v>10</v>
      </c>
      <c r="H25" s="42" t="n">
        <v>8</v>
      </c>
      <c r="I25" s="37" t="e">
        <f aca="false">NA()</f>
        <v>#N/A</v>
      </c>
      <c r="J25" s="37" t="str">
        <f aca="false">B25</f>
        <v>George R.R. Martin</v>
      </c>
    </row>
    <row r="26" customFormat="false" ht="12" hidden="false" customHeight="true" outlineLevel="0" collapsed="false">
      <c r="A26" s="44" t="s">
        <v>493</v>
      </c>
      <c r="B26" s="44" t="s">
        <v>79</v>
      </c>
      <c r="C26" s="44" t="s">
        <v>189</v>
      </c>
      <c r="D26" s="44" t="n">
        <v>41413</v>
      </c>
      <c r="E26" s="44" t="n">
        <v>41427</v>
      </c>
      <c r="F26" s="40" t="n">
        <v>608</v>
      </c>
      <c r="G26" s="40" t="s">
        <v>10</v>
      </c>
      <c r="H26" s="42" t="n">
        <v>6</v>
      </c>
      <c r="I26" s="37" t="e">
        <f aca="false">NA()</f>
        <v>#N/A</v>
      </c>
      <c r="J26" s="37" t="str">
        <f aca="false">B26</f>
        <v>Albert Sánchez Piñol</v>
      </c>
    </row>
    <row r="27" customFormat="false" ht="12" hidden="false" customHeight="true" outlineLevel="0" collapsed="false">
      <c r="A27" s="44" t="s">
        <v>494</v>
      </c>
      <c r="B27" s="44" t="s">
        <v>495</v>
      </c>
      <c r="C27" s="44" t="s">
        <v>189</v>
      </c>
      <c r="D27" s="44" t="n">
        <v>41427</v>
      </c>
      <c r="E27" s="44" t="n">
        <v>41427</v>
      </c>
      <c r="F27" s="40" t="n">
        <v>128</v>
      </c>
      <c r="G27" s="40" t="s">
        <v>390</v>
      </c>
      <c r="H27" s="42" t="n">
        <v>7</v>
      </c>
      <c r="I27" s="37" t="e">
        <f aca="false">NA()</f>
        <v>#N/A</v>
      </c>
      <c r="J27" s="37" t="str">
        <f aca="false">B27</f>
        <v>Federico García Lorca</v>
      </c>
    </row>
    <row r="28" customFormat="false" ht="12" hidden="false" customHeight="true" outlineLevel="0" collapsed="false">
      <c r="A28" s="44" t="s">
        <v>496</v>
      </c>
      <c r="B28" s="44" t="s">
        <v>495</v>
      </c>
      <c r="C28" s="44" t="s">
        <v>189</v>
      </c>
      <c r="D28" s="44" t="n">
        <v>41427</v>
      </c>
      <c r="E28" s="44" t="n">
        <v>41427</v>
      </c>
      <c r="F28" s="40" t="n">
        <v>128</v>
      </c>
      <c r="G28" s="40" t="s">
        <v>390</v>
      </c>
      <c r="H28" s="42" t="n">
        <v>6</v>
      </c>
      <c r="I28" s="37" t="e">
        <f aca="false">NA()</f>
        <v>#N/A</v>
      </c>
      <c r="J28" s="37" t="str">
        <f aca="false">B28</f>
        <v>Federico García Lorca</v>
      </c>
    </row>
    <row r="29" customFormat="false" ht="12" hidden="false" customHeight="true" outlineLevel="0" collapsed="false">
      <c r="A29" s="44" t="s">
        <v>497</v>
      </c>
      <c r="B29" s="44" t="s">
        <v>498</v>
      </c>
      <c r="C29" s="44" t="s">
        <v>189</v>
      </c>
      <c r="D29" s="44" t="n">
        <v>41428</v>
      </c>
      <c r="E29" s="44" t="n">
        <v>41430</v>
      </c>
      <c r="F29" s="40" t="n">
        <v>344</v>
      </c>
      <c r="G29" s="40" t="s">
        <v>10</v>
      </c>
      <c r="H29" s="42" t="n">
        <v>8.7</v>
      </c>
      <c r="I29" s="37" t="e">
        <f aca="false">NA()</f>
        <v>#N/A</v>
      </c>
      <c r="J29" s="37" t="str">
        <f aca="false">B29</f>
        <v>Juan Madrid</v>
      </c>
    </row>
    <row r="30" customFormat="false" ht="12" hidden="false" customHeight="true" outlineLevel="0" collapsed="false">
      <c r="A30" s="44" t="s">
        <v>499</v>
      </c>
      <c r="B30" s="44" t="s">
        <v>500</v>
      </c>
      <c r="C30" s="44" t="s">
        <v>189</v>
      </c>
      <c r="D30" s="44" t="n">
        <v>41430</v>
      </c>
      <c r="E30" s="44" t="n">
        <v>41439</v>
      </c>
      <c r="F30" s="40" t="n">
        <v>368</v>
      </c>
      <c r="G30" s="40" t="s">
        <v>10</v>
      </c>
      <c r="H30" s="42" t="n">
        <v>6</v>
      </c>
      <c r="I30" s="37" t="e">
        <f aca="false">NA()</f>
        <v>#N/A</v>
      </c>
      <c r="J30" s="37" t="str">
        <f aca="false">B30</f>
        <v>Camilo Jose Cela</v>
      </c>
    </row>
    <row r="31" customFormat="false" ht="12" hidden="false" customHeight="true" outlineLevel="0" collapsed="false">
      <c r="A31" s="44" t="s">
        <v>501</v>
      </c>
      <c r="B31" s="44" t="s">
        <v>492</v>
      </c>
      <c r="C31" s="44" t="s">
        <v>189</v>
      </c>
      <c r="D31" s="44" t="n">
        <v>41440</v>
      </c>
      <c r="E31" s="44" t="n">
        <v>41447</v>
      </c>
      <c r="F31" s="40" t="n">
        <v>928</v>
      </c>
      <c r="G31" s="40" t="s">
        <v>10</v>
      </c>
      <c r="H31" s="42" t="n">
        <v>8</v>
      </c>
      <c r="I31" s="37" t="e">
        <f aca="false">NA()</f>
        <v>#N/A</v>
      </c>
      <c r="J31" s="37" t="str">
        <f aca="false">B31</f>
        <v>George R.R. Martin</v>
      </c>
    </row>
    <row r="32" customFormat="false" ht="12" hidden="false" customHeight="true" outlineLevel="0" collapsed="false">
      <c r="A32" s="44" t="s">
        <v>502</v>
      </c>
      <c r="B32" s="44" t="s">
        <v>492</v>
      </c>
      <c r="C32" s="44" t="s">
        <v>189</v>
      </c>
      <c r="D32" s="44" t="n">
        <v>41447</v>
      </c>
      <c r="E32" s="44" t="n">
        <v>41453</v>
      </c>
      <c r="F32" s="40" t="n">
        <v>1176</v>
      </c>
      <c r="G32" s="40" t="s">
        <v>10</v>
      </c>
      <c r="H32" s="42" t="n">
        <v>8</v>
      </c>
      <c r="I32" s="37" t="e">
        <f aca="false">NA()</f>
        <v>#N/A</v>
      </c>
      <c r="J32" s="37" t="str">
        <f aca="false">B32</f>
        <v>George R.R. Martin</v>
      </c>
    </row>
    <row r="33" customFormat="false" ht="12" hidden="false" customHeight="true" outlineLevel="0" collapsed="false">
      <c r="A33" s="44" t="s">
        <v>503</v>
      </c>
      <c r="B33" s="44" t="s">
        <v>492</v>
      </c>
      <c r="C33" s="44" t="s">
        <v>189</v>
      </c>
      <c r="D33" s="44" t="n">
        <v>41453</v>
      </c>
      <c r="E33" s="44" t="n">
        <v>41458</v>
      </c>
      <c r="F33" s="40" t="n">
        <v>864</v>
      </c>
      <c r="G33" s="40" t="s">
        <v>10</v>
      </c>
      <c r="H33" s="42" t="n">
        <v>7</v>
      </c>
      <c r="I33" s="37" t="e">
        <f aca="false">NA()</f>
        <v>#N/A</v>
      </c>
      <c r="J33" s="37" t="str">
        <f aca="false">B33</f>
        <v>George R.R. Martin</v>
      </c>
    </row>
    <row r="34" customFormat="false" ht="12" hidden="false" customHeight="true" outlineLevel="0" collapsed="false">
      <c r="A34" s="44" t="s">
        <v>504</v>
      </c>
      <c r="B34" s="44" t="s">
        <v>492</v>
      </c>
      <c r="C34" s="44" t="s">
        <v>189</v>
      </c>
      <c r="D34" s="44" t="n">
        <v>41458</v>
      </c>
      <c r="E34" s="44" t="n">
        <v>41468</v>
      </c>
      <c r="F34" s="40" t="n">
        <v>1152</v>
      </c>
      <c r="G34" s="40" t="s">
        <v>10</v>
      </c>
      <c r="H34" s="42" t="n">
        <v>7</v>
      </c>
      <c r="I34" s="37" t="e">
        <f aca="false">NA()</f>
        <v>#N/A</v>
      </c>
      <c r="J34" s="37" t="str">
        <f aca="false">B34</f>
        <v>George R.R. Martin</v>
      </c>
    </row>
    <row r="35" customFormat="false" ht="12" hidden="false" customHeight="true" outlineLevel="0" collapsed="false">
      <c r="A35" s="44" t="s">
        <v>505</v>
      </c>
      <c r="B35" s="44" t="s">
        <v>161</v>
      </c>
      <c r="C35" s="44" t="s">
        <v>189</v>
      </c>
      <c r="D35" s="44" t="n">
        <v>41468</v>
      </c>
      <c r="E35" s="44" t="n">
        <v>41471</v>
      </c>
      <c r="F35" s="40" t="n">
        <v>400</v>
      </c>
      <c r="G35" s="40" t="s">
        <v>58</v>
      </c>
      <c r="H35" s="42" t="n">
        <v>6</v>
      </c>
      <c r="I35" s="37" t="e">
        <f aca="false">NA()</f>
        <v>#N/A</v>
      </c>
      <c r="J35" s="37" t="str">
        <f aca="false">B35</f>
        <v>Indro Montanelli</v>
      </c>
    </row>
    <row r="36" customFormat="false" ht="12" hidden="false" customHeight="true" outlineLevel="0" collapsed="false">
      <c r="A36" s="44" t="s">
        <v>506</v>
      </c>
      <c r="B36" s="44" t="s">
        <v>507</v>
      </c>
      <c r="C36" s="44" t="s">
        <v>189</v>
      </c>
      <c r="D36" s="44" t="n">
        <v>41471</v>
      </c>
      <c r="E36" s="44" t="n">
        <v>41493</v>
      </c>
      <c r="F36" s="40" t="n">
        <v>296</v>
      </c>
      <c r="G36" s="40" t="s">
        <v>10</v>
      </c>
      <c r="H36" s="42" t="n">
        <v>6</v>
      </c>
      <c r="I36" s="37" t="e">
        <f aca="false">NA()</f>
        <v>#N/A</v>
      </c>
      <c r="J36" s="37" t="str">
        <f aca="false">B36</f>
        <v>Rafael Reig</v>
      </c>
    </row>
    <row r="37" customFormat="false" ht="12" hidden="false" customHeight="true" outlineLevel="0" collapsed="false">
      <c r="A37" s="44" t="s">
        <v>508</v>
      </c>
      <c r="B37" s="44" t="s">
        <v>509</v>
      </c>
      <c r="C37" s="44" t="s">
        <v>189</v>
      </c>
      <c r="D37" s="44" t="n">
        <v>41493</v>
      </c>
      <c r="E37" s="44" t="n">
        <v>41514</v>
      </c>
      <c r="F37" s="40" t="n">
        <v>820</v>
      </c>
      <c r="G37" s="40" t="s">
        <v>58</v>
      </c>
      <c r="H37" s="42" t="n">
        <v>6</v>
      </c>
      <c r="I37" s="37" t="e">
        <f aca="false">NA()</f>
        <v>#N/A</v>
      </c>
      <c r="J37" s="37" t="str">
        <f aca="false">B37</f>
        <v>Winston Churchill</v>
      </c>
    </row>
    <row r="38" customFormat="false" ht="12" hidden="false" customHeight="true" outlineLevel="0" collapsed="false">
      <c r="A38" s="44" t="s">
        <v>510</v>
      </c>
      <c r="B38" s="44" t="s">
        <v>370</v>
      </c>
      <c r="C38" s="44" t="s">
        <v>189</v>
      </c>
      <c r="D38" s="44" t="n">
        <v>41514</v>
      </c>
      <c r="E38" s="44" t="n">
        <v>41519</v>
      </c>
      <c r="F38" s="40" t="n">
        <v>224</v>
      </c>
      <c r="G38" s="40" t="s">
        <v>58</v>
      </c>
      <c r="H38" s="42" t="n">
        <v>7</v>
      </c>
      <c r="I38" s="37" t="e">
        <f aca="false">NA()</f>
        <v>#N/A</v>
      </c>
      <c r="J38" s="37" t="str">
        <f aca="false">B38</f>
        <v>Bill Bryson</v>
      </c>
    </row>
    <row r="39" customFormat="false" ht="12" hidden="false" customHeight="true" outlineLevel="0" collapsed="false">
      <c r="A39" s="44" t="s">
        <v>511</v>
      </c>
      <c r="B39" s="44" t="s">
        <v>512</v>
      </c>
      <c r="C39" s="44" t="s">
        <v>189</v>
      </c>
      <c r="D39" s="44" t="n">
        <v>41519</v>
      </c>
      <c r="E39" s="44" t="n">
        <v>41620</v>
      </c>
      <c r="F39" s="40" t="n">
        <v>640</v>
      </c>
      <c r="G39" s="40" t="s">
        <v>24</v>
      </c>
      <c r="H39" s="42" t="n">
        <v>7</v>
      </c>
      <c r="I39" s="37" t="e">
        <f aca="false">NA()</f>
        <v>#N/A</v>
      </c>
      <c r="J39" s="37" t="str">
        <f aca="false">B39</f>
        <v>Gay Talese</v>
      </c>
    </row>
    <row r="41" customFormat="false" ht="12" hidden="false" customHeight="true" outlineLevel="0" collapsed="false">
      <c r="F41" s="32" t="n">
        <f aca="false">SUM(F2:F39)</f>
        <v>17259</v>
      </c>
      <c r="G41" s="33"/>
      <c r="H41" s="34"/>
    </row>
    <row r="42" customFormat="false" ht="12" hidden="false" customHeight="true" outlineLevel="0" collapsed="false">
      <c r="A42" s="24" t="s">
        <v>275</v>
      </c>
    </row>
    <row r="43" customFormat="false" ht="24" hidden="false" customHeight="true" outlineLevel="0" collapsed="false">
      <c r="A43" s="6" t="s">
        <v>277</v>
      </c>
      <c r="B43" s="6" t="s">
        <v>278</v>
      </c>
      <c r="C43" s="6" t="s">
        <v>279</v>
      </c>
      <c r="D43" s="6" t="s">
        <v>280</v>
      </c>
    </row>
    <row r="44" customFormat="false" ht="12" hidden="false" customHeight="true" outlineLevel="0" collapsed="false">
      <c r="A44" s="6" t="n">
        <f aca="false">COUNTIF(E2:E39,"&gt;0")</f>
        <v>27</v>
      </c>
      <c r="B44" s="6" t="n">
        <f aca="false">ROUND(F41/A44,0)</f>
        <v>639</v>
      </c>
      <c r="C44" s="6" t="e">
        <f aca="false">INDEX(J2:J39,MATCH(MAX(I2:I39),I2:I39,0),1)</f>
        <v>#N/A</v>
      </c>
      <c r="D44" s="6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3"/>
  <sheetViews>
    <sheetView showFormulas="false" showGridLines="true" showRowColHeaders="true" showZeros="true" rightToLeft="false" tabSelected="false" showOutlineSymbols="true" defaultGridColor="true" view="normal" topLeftCell="A4" colorId="64" zoomScale="110" zoomScaleNormal="110" zoomScalePageLayoutView="100" workbookViewId="0">
      <selection pane="topLeft" activeCell="B24" activeCellId="0" sqref="B24"/>
    </sheetView>
  </sheetViews>
  <sheetFormatPr defaultColWidth="10.5" defaultRowHeight="12" zeroHeight="false" outlineLevelRow="0" outlineLevelCol="0"/>
  <cols>
    <col collapsed="false" customWidth="true" hidden="false" outlineLevel="0" max="1" min="1" style="0" width="41.49"/>
    <col collapsed="false" customWidth="true" hidden="false" outlineLevel="0" max="2" min="2" style="0" width="21.5"/>
    <col collapsed="false" customWidth="true" hidden="false" outlineLevel="0" max="3" min="3" style="0" width="9.49"/>
    <col collapsed="false" customWidth="true" hidden="false" outlineLevel="0" max="8" min="8" style="0" width="22.49"/>
    <col collapsed="false" customWidth="false" hidden="true" outlineLevel="0" max="10" min="9" style="0" width="10.5"/>
    <col collapsed="false" customWidth="true" hidden="false" outlineLevel="0" max="11" min="11" style="0" width="22.49"/>
  </cols>
  <sheetData>
    <row r="1" s="6" customFormat="true" ht="12.75" hidden="false" customHeight="true" outlineLevel="0" collapsed="false">
      <c r="A1" s="24" t="s">
        <v>0</v>
      </c>
      <c r="B1" s="25" t="s">
        <v>1</v>
      </c>
      <c r="C1" s="25" t="s">
        <v>2</v>
      </c>
      <c r="D1" s="26" t="s">
        <v>3</v>
      </c>
      <c r="E1" s="27" t="s">
        <v>4</v>
      </c>
      <c r="F1" s="26" t="s">
        <v>5</v>
      </c>
      <c r="G1" s="27" t="s">
        <v>6</v>
      </c>
      <c r="H1" s="28" t="s">
        <v>7</v>
      </c>
      <c r="I1" s="35" t="s">
        <v>281</v>
      </c>
      <c r="J1" s="36" t="s">
        <v>1</v>
      </c>
      <c r="K1" s="28" t="s">
        <v>513</v>
      </c>
    </row>
    <row r="2" customFormat="false" ht="12" hidden="false" customHeight="true" outlineLevel="0" collapsed="false">
      <c r="A2" s="49" t="s">
        <v>452</v>
      </c>
      <c r="B2" s="49" t="s">
        <v>453</v>
      </c>
      <c r="C2" s="49" t="s">
        <v>70</v>
      </c>
      <c r="D2" s="49" t="n">
        <v>40150</v>
      </c>
      <c r="E2" s="49"/>
      <c r="F2" s="50" t="n">
        <v>222</v>
      </c>
      <c r="G2" s="50" t="s">
        <v>10</v>
      </c>
      <c r="H2" s="51" t="s">
        <v>110</v>
      </c>
      <c r="I2" s="37" t="e">
        <f aca="false">NA()</f>
        <v>#N/A</v>
      </c>
      <c r="J2" s="37" t="str">
        <f aca="false">B2</f>
        <v>Juan Rulfo</v>
      </c>
      <c r="K2" s="51"/>
    </row>
    <row r="3" customFormat="false" ht="12" hidden="false" customHeight="true" outlineLevel="0" collapsed="false">
      <c r="A3" s="49" t="s">
        <v>454</v>
      </c>
      <c r="B3" s="49" t="s">
        <v>455</v>
      </c>
      <c r="C3" s="49" t="s">
        <v>33</v>
      </c>
      <c r="D3" s="49" t="n">
        <v>40261</v>
      </c>
      <c r="E3" s="49"/>
      <c r="F3" s="50" t="n">
        <v>910</v>
      </c>
      <c r="G3" s="50" t="s">
        <v>10</v>
      </c>
      <c r="H3" s="51" t="s">
        <v>110</v>
      </c>
      <c r="I3" s="37" t="e">
        <f aca="false">NA()</f>
        <v>#N/A</v>
      </c>
      <c r="J3" s="37" t="str">
        <f aca="false">B3</f>
        <v>James Joyce</v>
      </c>
      <c r="K3" s="51"/>
    </row>
    <row r="4" customFormat="false" ht="12" hidden="false" customHeight="true" outlineLevel="0" collapsed="false">
      <c r="A4" s="49" t="s">
        <v>456</v>
      </c>
      <c r="B4" s="49" t="s">
        <v>457</v>
      </c>
      <c r="C4" s="49" t="s">
        <v>189</v>
      </c>
      <c r="D4" s="49" t="n">
        <v>40282</v>
      </c>
      <c r="E4" s="49"/>
      <c r="F4" s="50" t="n">
        <v>480</v>
      </c>
      <c r="G4" s="50" t="s">
        <v>10</v>
      </c>
      <c r="H4" s="51" t="s">
        <v>110</v>
      </c>
      <c r="I4" s="37" t="e">
        <f aca="false">NA()</f>
        <v>#N/A</v>
      </c>
      <c r="J4" s="37" t="str">
        <f aca="false">B4</f>
        <v>Ambrose Bierce</v>
      </c>
      <c r="K4" s="51"/>
    </row>
    <row r="5" customFormat="false" ht="12" hidden="false" customHeight="true" outlineLevel="0" collapsed="false">
      <c r="A5" s="49" t="s">
        <v>458</v>
      </c>
      <c r="B5" s="49" t="s">
        <v>459</v>
      </c>
      <c r="C5" s="49" t="s">
        <v>189</v>
      </c>
      <c r="D5" s="49" t="n">
        <v>40296</v>
      </c>
      <c r="E5" s="49"/>
      <c r="F5" s="50" t="n">
        <v>209</v>
      </c>
      <c r="G5" s="50" t="s">
        <v>10</v>
      </c>
      <c r="H5" s="51" t="s">
        <v>110</v>
      </c>
      <c r="I5" s="37" t="e">
        <f aca="false">NA()</f>
        <v>#N/A</v>
      </c>
      <c r="J5" s="37" t="str">
        <f aca="false">B5</f>
        <v>Dalton Trumbo</v>
      </c>
      <c r="K5" s="51"/>
    </row>
    <row r="6" customFormat="false" ht="12" hidden="false" customHeight="true" outlineLevel="0" collapsed="false">
      <c r="A6" s="49" t="s">
        <v>460</v>
      </c>
      <c r="B6" s="49" t="s">
        <v>461</v>
      </c>
      <c r="C6" s="49" t="s">
        <v>189</v>
      </c>
      <c r="D6" s="49" t="n">
        <v>40366</v>
      </c>
      <c r="E6" s="49"/>
      <c r="F6" s="50" t="n">
        <v>160</v>
      </c>
      <c r="G6" s="50" t="s">
        <v>24</v>
      </c>
      <c r="H6" s="51" t="s">
        <v>110</v>
      </c>
      <c r="I6" s="37" t="e">
        <f aca="false">NA()</f>
        <v>#N/A</v>
      </c>
      <c r="J6" s="37" t="str">
        <f aca="false">B6</f>
        <v>Michel Dansel</v>
      </c>
      <c r="K6" s="51"/>
    </row>
    <row r="7" customFormat="false" ht="12" hidden="false" customHeight="true" outlineLevel="0" collapsed="false">
      <c r="A7" s="49" t="s">
        <v>462</v>
      </c>
      <c r="B7" s="49" t="s">
        <v>285</v>
      </c>
      <c r="C7" s="49" t="s">
        <v>33</v>
      </c>
      <c r="D7" s="49" t="n">
        <v>40373</v>
      </c>
      <c r="E7" s="49"/>
      <c r="F7" s="50" t="n">
        <v>502</v>
      </c>
      <c r="G7" s="50" t="s">
        <v>24</v>
      </c>
      <c r="H7" s="51" t="s">
        <v>110</v>
      </c>
      <c r="I7" s="37" t="e">
        <f aca="false">NA()</f>
        <v>#N/A</v>
      </c>
      <c r="J7" s="37" t="str">
        <f aca="false">B7</f>
        <v>Varios</v>
      </c>
      <c r="K7" s="51"/>
    </row>
    <row r="8" customFormat="false" ht="12" hidden="false" customHeight="true" outlineLevel="0" collapsed="false">
      <c r="A8" s="49" t="s">
        <v>463</v>
      </c>
      <c r="B8" s="49" t="s">
        <v>464</v>
      </c>
      <c r="C8" s="49" t="s">
        <v>189</v>
      </c>
      <c r="D8" s="49" t="n">
        <v>40385</v>
      </c>
      <c r="E8" s="49"/>
      <c r="F8" s="50" t="n">
        <v>384</v>
      </c>
      <c r="G8" s="50" t="s">
        <v>58</v>
      </c>
      <c r="H8" s="51" t="s">
        <v>110</v>
      </c>
      <c r="I8" s="37" t="e">
        <f aca="false">NA()</f>
        <v>#N/A</v>
      </c>
      <c r="J8" s="37" t="str">
        <f aca="false">B8</f>
        <v>Primitivo Martínez</v>
      </c>
      <c r="K8" s="51"/>
    </row>
    <row r="9" customFormat="false" ht="12" hidden="false" customHeight="true" outlineLevel="0" collapsed="false">
      <c r="A9" s="49" t="s">
        <v>465</v>
      </c>
      <c r="B9" s="49" t="s">
        <v>466</v>
      </c>
      <c r="C9" s="49" t="s">
        <v>189</v>
      </c>
      <c r="D9" s="49" t="n">
        <v>40438</v>
      </c>
      <c r="E9" s="49"/>
      <c r="F9" s="50" t="n">
        <v>300</v>
      </c>
      <c r="G9" s="50" t="s">
        <v>202</v>
      </c>
      <c r="H9" s="51" t="s">
        <v>110</v>
      </c>
      <c r="I9" s="37" t="e">
        <f aca="false">NA()</f>
        <v>#N/A</v>
      </c>
      <c r="J9" s="37" t="str">
        <f aca="false">B9</f>
        <v>Richard Leakey</v>
      </c>
      <c r="K9" s="51"/>
    </row>
    <row r="10" customFormat="false" ht="12" hidden="false" customHeight="true" outlineLevel="0" collapsed="false">
      <c r="A10" s="49" t="s">
        <v>467</v>
      </c>
      <c r="B10" s="49" t="s">
        <v>468</v>
      </c>
      <c r="C10" s="49" t="s">
        <v>33</v>
      </c>
      <c r="D10" s="49"/>
      <c r="E10" s="49"/>
      <c r="F10" s="50" t="n">
        <v>338</v>
      </c>
      <c r="G10" s="50" t="s">
        <v>10</v>
      </c>
      <c r="H10" s="51" t="s">
        <v>110</v>
      </c>
      <c r="I10" s="37" t="e">
        <f aca="false">NA()</f>
        <v>#N/A</v>
      </c>
      <c r="J10" s="37" t="str">
        <f aca="false">B10</f>
        <v>Paul Auster</v>
      </c>
      <c r="K10" s="51"/>
    </row>
    <row r="11" customFormat="false" ht="12" hidden="false" customHeight="true" outlineLevel="0" collapsed="false">
      <c r="A11" s="49" t="s">
        <v>469</v>
      </c>
      <c r="B11" s="49" t="s">
        <v>470</v>
      </c>
      <c r="C11" s="49" t="s">
        <v>189</v>
      </c>
      <c r="D11" s="49" t="n">
        <v>40655</v>
      </c>
      <c r="E11" s="49"/>
      <c r="F11" s="50" t="n">
        <v>300</v>
      </c>
      <c r="G11" s="50" t="s">
        <v>24</v>
      </c>
      <c r="H11" s="51" t="s">
        <v>110</v>
      </c>
      <c r="I11" s="37" t="e">
        <f aca="false">NA()</f>
        <v>#N/A</v>
      </c>
      <c r="J11" s="37" t="str">
        <f aca="false">B11</f>
        <v>Umberto Eco</v>
      </c>
      <c r="K11" s="51"/>
    </row>
    <row r="12" customFormat="false" ht="12" hidden="false" customHeight="true" outlineLevel="0" collapsed="false">
      <c r="A12" s="49" t="s">
        <v>471</v>
      </c>
      <c r="B12" s="49" t="s">
        <v>472</v>
      </c>
      <c r="C12" s="49" t="s">
        <v>33</v>
      </c>
      <c r="D12" s="49" t="n">
        <v>40736</v>
      </c>
      <c r="E12" s="49"/>
      <c r="F12" s="50" t="n">
        <v>144</v>
      </c>
      <c r="G12" s="50" t="s">
        <v>24</v>
      </c>
      <c r="H12" s="51" t="s">
        <v>110</v>
      </c>
      <c r="I12" s="37" t="e">
        <f aca="false">NA()</f>
        <v>#N/A</v>
      </c>
      <c r="J12" s="37" t="str">
        <f aca="false">B12</f>
        <v>Comité invisible</v>
      </c>
      <c r="K12" s="51"/>
    </row>
    <row r="13" customFormat="false" ht="12" hidden="false" customHeight="true" outlineLevel="0" collapsed="false">
      <c r="A13" s="44" t="s">
        <v>514</v>
      </c>
      <c r="B13" s="44" t="s">
        <v>208</v>
      </c>
      <c r="C13" s="44" t="s">
        <v>33</v>
      </c>
      <c r="D13" s="44" t="n">
        <v>41537</v>
      </c>
      <c r="E13" s="44" t="n">
        <v>41666</v>
      </c>
      <c r="F13" s="40" t="n">
        <v>473</v>
      </c>
      <c r="G13" s="40" t="s">
        <v>10</v>
      </c>
      <c r="H13" s="42" t="n">
        <v>7</v>
      </c>
      <c r="I13" s="37" t="e">
        <f aca="false">NA()</f>
        <v>#N/A</v>
      </c>
      <c r="J13" s="37" t="str">
        <f aca="false">B13</f>
        <v>Neal Stephenson</v>
      </c>
      <c r="K13" s="42"/>
    </row>
    <row r="14" customFormat="false" ht="12" hidden="false" customHeight="true" outlineLevel="0" collapsed="false">
      <c r="A14" s="44" t="s">
        <v>515</v>
      </c>
      <c r="B14" s="44" t="s">
        <v>516</v>
      </c>
      <c r="C14" s="44" t="s">
        <v>189</v>
      </c>
      <c r="D14" s="44" t="n">
        <v>41666</v>
      </c>
      <c r="E14" s="44" t="n">
        <v>41801</v>
      </c>
      <c r="F14" s="40" t="n">
        <v>280</v>
      </c>
      <c r="G14" s="40" t="s">
        <v>10</v>
      </c>
      <c r="H14" s="42" t="n">
        <v>6.5</v>
      </c>
      <c r="I14" s="37" t="e">
        <f aca="false">NA()</f>
        <v>#N/A</v>
      </c>
      <c r="J14" s="37" t="str">
        <f aca="false">B14</f>
        <v>Arto Paasilinna</v>
      </c>
      <c r="K14" s="42"/>
    </row>
    <row r="15" customFormat="false" ht="12" hidden="false" customHeight="true" outlineLevel="0" collapsed="false">
      <c r="A15" s="44" t="s">
        <v>517</v>
      </c>
      <c r="B15" s="44" t="s">
        <v>518</v>
      </c>
      <c r="C15" s="44" t="s">
        <v>33</v>
      </c>
      <c r="D15" s="44" t="n">
        <v>41722</v>
      </c>
      <c r="E15" s="44" t="n">
        <v>41737</v>
      </c>
      <c r="F15" s="40" t="n">
        <v>160</v>
      </c>
      <c r="G15" s="40" t="s">
        <v>58</v>
      </c>
      <c r="H15" s="42" t="n">
        <v>1</v>
      </c>
      <c r="I15" s="37" t="e">
        <f aca="false">NA()</f>
        <v>#N/A</v>
      </c>
      <c r="J15" s="37" t="str">
        <f aca="false">B15</f>
        <v>George Duby</v>
      </c>
      <c r="K15" s="42"/>
    </row>
    <row r="16" customFormat="false" ht="12" hidden="false" customHeight="true" outlineLevel="0" collapsed="false">
      <c r="A16" s="44" t="s">
        <v>519</v>
      </c>
      <c r="B16" s="44" t="s">
        <v>520</v>
      </c>
      <c r="C16" s="44" t="s">
        <v>33</v>
      </c>
      <c r="D16" s="44" t="n">
        <v>41737</v>
      </c>
      <c r="E16" s="44" t="n">
        <v>41761</v>
      </c>
      <c r="F16" s="40" t="n">
        <v>344</v>
      </c>
      <c r="G16" s="40" t="s">
        <v>24</v>
      </c>
      <c r="H16" s="42" t="n">
        <v>9</v>
      </c>
      <c r="I16" s="37" t="e">
        <f aca="false">NA()</f>
        <v>#N/A</v>
      </c>
      <c r="J16" s="37" t="str">
        <f aca="false">B16</f>
        <v>Ken Jennings</v>
      </c>
      <c r="K16" s="42"/>
    </row>
    <row r="17" customFormat="false" ht="12" hidden="false" customHeight="true" outlineLevel="0" collapsed="false">
      <c r="A17" s="44" t="s">
        <v>521</v>
      </c>
      <c r="B17" s="44" t="s">
        <v>522</v>
      </c>
      <c r="C17" s="44" t="s">
        <v>33</v>
      </c>
      <c r="D17" s="44" t="n">
        <v>41763</v>
      </c>
      <c r="E17" s="44" t="n">
        <v>41775</v>
      </c>
      <c r="F17" s="40" t="n">
        <v>431</v>
      </c>
      <c r="G17" s="40" t="s">
        <v>24</v>
      </c>
      <c r="H17" s="42" t="n">
        <v>9</v>
      </c>
      <c r="I17" s="37" t="e">
        <f aca="false">NA()</f>
        <v>#N/A</v>
      </c>
      <c r="J17" s="37" t="str">
        <f aca="false">B17</f>
        <v>Iñigo Domínguez</v>
      </c>
      <c r="K17" s="42"/>
    </row>
    <row r="18" customFormat="false" ht="12" hidden="false" customHeight="true" outlineLevel="0" collapsed="false">
      <c r="A18" s="44" t="s">
        <v>523</v>
      </c>
      <c r="B18" s="44" t="s">
        <v>524</v>
      </c>
      <c r="C18" s="44" t="s">
        <v>33</v>
      </c>
      <c r="D18" s="44" t="n">
        <v>41775</v>
      </c>
      <c r="E18" s="44" t="n">
        <v>41792</v>
      </c>
      <c r="F18" s="40" t="n">
        <v>312</v>
      </c>
      <c r="G18" s="40" t="s">
        <v>24</v>
      </c>
      <c r="H18" s="42" t="n">
        <v>9</v>
      </c>
      <c r="I18" s="37" t="e">
        <f aca="false">NA()</f>
        <v>#N/A</v>
      </c>
      <c r="J18" s="37" t="str">
        <f aca="false">B18</f>
        <v>Jose Luis Cuerda</v>
      </c>
      <c r="K18" s="42"/>
    </row>
    <row r="19" customFormat="false" ht="12" hidden="false" customHeight="true" outlineLevel="0" collapsed="false">
      <c r="A19" s="49" t="s">
        <v>525</v>
      </c>
      <c r="B19" s="49" t="s">
        <v>526</v>
      </c>
      <c r="C19" s="49" t="s">
        <v>189</v>
      </c>
      <c r="D19" s="49" t="n">
        <v>41801</v>
      </c>
      <c r="E19" s="49"/>
      <c r="F19" s="52" t="n">
        <v>272</v>
      </c>
      <c r="G19" s="52" t="s">
        <v>10</v>
      </c>
      <c r="H19" s="51"/>
      <c r="I19" s="37" t="e">
        <f aca="false">NA()</f>
        <v>#N/A</v>
      </c>
      <c r="J19" s="37" t="str">
        <f aca="false">B19</f>
        <v>Carlos Sisi</v>
      </c>
      <c r="K19" s="51"/>
    </row>
    <row r="20" customFormat="false" ht="12" hidden="false" customHeight="true" outlineLevel="0" collapsed="false">
      <c r="A20" s="44" t="s">
        <v>527</v>
      </c>
      <c r="B20" s="44" t="s">
        <v>528</v>
      </c>
      <c r="C20" s="44" t="s">
        <v>189</v>
      </c>
      <c r="D20" s="44" t="n">
        <v>41827</v>
      </c>
      <c r="E20" s="44" t="n">
        <v>41871</v>
      </c>
      <c r="F20" s="40" t="n">
        <v>600</v>
      </c>
      <c r="G20" s="40" t="s">
        <v>58</v>
      </c>
      <c r="H20" s="42" t="n">
        <v>7</v>
      </c>
      <c r="I20" s="37" t="e">
        <f aca="false">NA()</f>
        <v>#N/A</v>
      </c>
      <c r="J20" s="37" t="str">
        <f aca="false">B20</f>
        <v>Eric Hobsbawm</v>
      </c>
      <c r="K20" s="42"/>
    </row>
    <row r="21" customFormat="false" ht="12" hidden="false" customHeight="true" outlineLevel="0" collapsed="false">
      <c r="A21" s="44" t="s">
        <v>529</v>
      </c>
      <c r="B21" s="44" t="s">
        <v>370</v>
      </c>
      <c r="C21" s="44" t="s">
        <v>189</v>
      </c>
      <c r="D21" s="44" t="n">
        <v>41880</v>
      </c>
      <c r="E21" s="44" t="n">
        <v>41886</v>
      </c>
      <c r="F21" s="40" t="n">
        <v>432</v>
      </c>
      <c r="G21" s="40" t="s">
        <v>24</v>
      </c>
      <c r="H21" s="42" t="n">
        <v>8</v>
      </c>
      <c r="I21" s="37" t="e">
        <f aca="false">NA()</f>
        <v>#N/A</v>
      </c>
      <c r="J21" s="37" t="str">
        <f aca="false">B21</f>
        <v>Bill Bryson</v>
      </c>
      <c r="K21" s="42" t="n">
        <v>1999</v>
      </c>
    </row>
    <row r="22" customFormat="false" ht="12" hidden="false" customHeight="true" outlineLevel="0" collapsed="false">
      <c r="A22" s="44" t="s">
        <v>530</v>
      </c>
      <c r="B22" s="44" t="s">
        <v>531</v>
      </c>
      <c r="C22" s="44" t="s">
        <v>189</v>
      </c>
      <c r="D22" s="44" t="n">
        <v>41886</v>
      </c>
      <c r="E22" s="44" t="n">
        <v>41899</v>
      </c>
      <c r="F22" s="40" t="n">
        <v>336</v>
      </c>
      <c r="G22" s="40" t="s">
        <v>58</v>
      </c>
      <c r="H22" s="42" t="n">
        <v>6.8</v>
      </c>
      <c r="I22" s="37" t="e">
        <f aca="false">NA()</f>
        <v>#N/A</v>
      </c>
      <c r="J22" s="37" t="str">
        <f aca="false">B22</f>
        <v>Harold Lamb</v>
      </c>
      <c r="K22" s="42" t="n">
        <v>2002</v>
      </c>
    </row>
    <row r="23" customFormat="false" ht="12" hidden="false" customHeight="true" outlineLevel="0" collapsed="false">
      <c r="A23" s="44" t="s">
        <v>532</v>
      </c>
      <c r="B23" s="44" t="s">
        <v>533</v>
      </c>
      <c r="C23" s="44" t="s">
        <v>189</v>
      </c>
      <c r="D23" s="44" t="n">
        <v>41899</v>
      </c>
      <c r="E23" s="44" t="n">
        <v>41984</v>
      </c>
      <c r="F23" s="40" t="n">
        <v>768</v>
      </c>
      <c r="G23" s="40" t="s">
        <v>58</v>
      </c>
      <c r="H23" s="42" t="n">
        <v>9</v>
      </c>
      <c r="I23" s="37" t="e">
        <f aca="false">NA()</f>
        <v>#N/A</v>
      </c>
      <c r="J23" s="37" t="str">
        <f aca="false">B23</f>
        <v>Donald Kagan</v>
      </c>
      <c r="K23" s="42" t="n">
        <v>2003</v>
      </c>
    </row>
    <row r="24" customFormat="false" ht="12" hidden="false" customHeight="true" outlineLevel="0" collapsed="false">
      <c r="A24" s="44" t="s">
        <v>534</v>
      </c>
      <c r="B24" s="44" t="s">
        <v>261</v>
      </c>
      <c r="C24" s="44" t="s">
        <v>189</v>
      </c>
      <c r="D24" s="44" t="n">
        <v>41984</v>
      </c>
      <c r="E24" s="44" t="n">
        <v>41993</v>
      </c>
      <c r="F24" s="40" t="n">
        <v>230</v>
      </c>
      <c r="G24" s="40" t="s">
        <v>10</v>
      </c>
      <c r="H24" s="42" t="n">
        <v>7</v>
      </c>
      <c r="I24" s="37" t="e">
        <f aca="false">NA()</f>
        <v>#N/A</v>
      </c>
      <c r="J24" s="37" t="str">
        <f aca="false">B24</f>
        <v>Isaac Asimov</v>
      </c>
      <c r="K24" s="42" t="n">
        <v>1951</v>
      </c>
    </row>
    <row r="25" customFormat="false" ht="12" hidden="false" customHeight="true" outlineLevel="0" collapsed="false">
      <c r="A25" s="44" t="s">
        <v>535</v>
      </c>
      <c r="B25" s="44" t="s">
        <v>261</v>
      </c>
      <c r="C25" s="44" t="s">
        <v>189</v>
      </c>
      <c r="D25" s="44" t="n">
        <v>41993</v>
      </c>
      <c r="E25" s="44" t="n">
        <v>42015</v>
      </c>
      <c r="F25" s="40" t="n">
        <v>320</v>
      </c>
      <c r="G25" s="40" t="s">
        <v>10</v>
      </c>
      <c r="H25" s="42" t="n">
        <v>6.5</v>
      </c>
      <c r="I25" s="37" t="e">
        <f aca="false">NA()</f>
        <v>#N/A</v>
      </c>
      <c r="J25" s="37" t="str">
        <f aca="false">B25</f>
        <v>Isaac Asimov</v>
      </c>
      <c r="K25" s="42" t="n">
        <v>1952</v>
      </c>
    </row>
    <row r="26" customFormat="false" ht="12" hidden="false" customHeight="true" outlineLevel="0" collapsed="false">
      <c r="F26" s="32" t="n">
        <f aca="false">SUM(F2:F25)</f>
        <v>8907</v>
      </c>
      <c r="G26" s="33"/>
      <c r="H26" s="34"/>
      <c r="I26" s="37" t="e">
        <f aca="false">NA()</f>
        <v>#N/A</v>
      </c>
      <c r="J26" s="37" t="e">
        <f aca="false">NA()</f>
        <v>#N/A</v>
      </c>
      <c r="K26" s="34"/>
    </row>
    <row r="27" customFormat="false" ht="12" hidden="false" customHeight="true" outlineLevel="0" collapsed="false">
      <c r="A27" s="24" t="s">
        <v>275</v>
      </c>
      <c r="I27" s="37" t="e">
        <f aca="false">NA()</f>
        <v>#N/A</v>
      </c>
      <c r="J27" s="37" t="e">
        <f aca="false">NA()</f>
        <v>#N/A</v>
      </c>
    </row>
    <row r="28" customFormat="false" ht="24" hidden="false" customHeight="true" outlineLevel="0" collapsed="false">
      <c r="A28" s="6" t="s">
        <v>277</v>
      </c>
      <c r="B28" s="6" t="s">
        <v>278</v>
      </c>
      <c r="C28" s="6" t="s">
        <v>279</v>
      </c>
      <c r="D28" s="6" t="s">
        <v>280</v>
      </c>
      <c r="I28" s="37" t="e">
        <f aca="false">NA()</f>
        <v>#N/A</v>
      </c>
      <c r="J28" s="37" t="e">
        <f aca="false">NA()</f>
        <v>#N/A</v>
      </c>
    </row>
    <row r="29" customFormat="false" ht="12" hidden="false" customHeight="true" outlineLevel="0" collapsed="false">
      <c r="A29" s="6" t="n">
        <f aca="false">COUNTIF(E2:E25,"&gt;0")</f>
        <v>12</v>
      </c>
      <c r="B29" s="6" t="n">
        <f aca="false">ROUND(F26/A29,0)</f>
        <v>742</v>
      </c>
      <c r="C29" s="6" t="e">
        <f aca="false">INDEX(J2:J53,MATCH(MAX(I2:I53),I2:I53,0),1)</f>
        <v>#N/A</v>
      </c>
      <c r="D29" s="6"/>
      <c r="I29" s="37" t="e">
        <f aca="false">NA()</f>
        <v>#N/A</v>
      </c>
      <c r="J29" s="37" t="e">
        <f aca="false">NA()</f>
        <v>#N/A</v>
      </c>
    </row>
    <row r="30" customFormat="false" ht="12" hidden="false" customHeight="true" outlineLevel="0" collapsed="false">
      <c r="I30" s="37" t="e">
        <f aca="false">NA()</f>
        <v>#N/A</v>
      </c>
      <c r="J30" s="37" t="e">
        <f aca="false">NA()</f>
        <v>#N/A</v>
      </c>
    </row>
    <row r="31" customFormat="false" ht="12" hidden="false" customHeight="true" outlineLevel="0" collapsed="false">
      <c r="I31" s="37" t="e">
        <f aca="false">NA()</f>
        <v>#N/A</v>
      </c>
      <c r="J31" s="37" t="e">
        <f aca="false">NA()</f>
        <v>#N/A</v>
      </c>
    </row>
    <row r="32" customFormat="false" ht="12" hidden="false" customHeight="true" outlineLevel="0" collapsed="false">
      <c r="I32" s="37" t="e">
        <f aca="false">NA()</f>
        <v>#N/A</v>
      </c>
      <c r="J32" s="37" t="e">
        <f aca="false">NA()</f>
        <v>#N/A</v>
      </c>
    </row>
    <row r="33" customFormat="false" ht="12" hidden="false" customHeight="true" outlineLevel="0" collapsed="false">
      <c r="I33" s="37" t="e">
        <f aca="false">NA()</f>
        <v>#N/A</v>
      </c>
      <c r="J33" s="37" t="e">
        <f aca="false">NA()</f>
        <v>#N/A</v>
      </c>
    </row>
    <row r="34" customFormat="false" ht="12" hidden="false" customHeight="true" outlineLevel="0" collapsed="false">
      <c r="I34" s="37" t="e">
        <f aca="false">NA()</f>
        <v>#N/A</v>
      </c>
      <c r="J34" s="37" t="e">
        <f aca="false">NA()</f>
        <v>#N/A</v>
      </c>
    </row>
    <row r="35" customFormat="false" ht="12" hidden="false" customHeight="true" outlineLevel="0" collapsed="false">
      <c r="I35" s="37" t="e">
        <f aca="false">NA()</f>
        <v>#N/A</v>
      </c>
      <c r="J35" s="37" t="e">
        <f aca="false">NA()</f>
        <v>#N/A</v>
      </c>
    </row>
    <row r="36" customFormat="false" ht="12" hidden="false" customHeight="true" outlineLevel="0" collapsed="false">
      <c r="I36" s="37" t="e">
        <f aca="false">NA()</f>
        <v>#N/A</v>
      </c>
      <c r="J36" s="37" t="e">
        <f aca="false">NA()</f>
        <v>#N/A</v>
      </c>
    </row>
    <row r="37" customFormat="false" ht="12" hidden="false" customHeight="true" outlineLevel="0" collapsed="false">
      <c r="I37" s="37" t="e">
        <f aca="false">NA()</f>
        <v>#N/A</v>
      </c>
      <c r="J37" s="37" t="e">
        <f aca="false">NA()</f>
        <v>#N/A</v>
      </c>
    </row>
    <row r="38" customFormat="false" ht="12" hidden="false" customHeight="true" outlineLevel="0" collapsed="false">
      <c r="I38" s="37" t="e">
        <f aca="false">NA()</f>
        <v>#N/A</v>
      </c>
      <c r="J38" s="37" t="e">
        <f aca="false">NA()</f>
        <v>#N/A</v>
      </c>
    </row>
    <row r="39" customFormat="false" ht="12" hidden="false" customHeight="true" outlineLevel="0" collapsed="false">
      <c r="I39" s="37" t="e">
        <f aca="false">NA()</f>
        <v>#N/A</v>
      </c>
      <c r="J39" s="37" t="e">
        <f aca="false">NA()</f>
        <v>#N/A</v>
      </c>
    </row>
    <row r="40" customFormat="false" ht="12" hidden="false" customHeight="true" outlineLevel="0" collapsed="false">
      <c r="I40" s="37" t="e">
        <f aca="false">NA()</f>
        <v>#N/A</v>
      </c>
      <c r="J40" s="37" t="e">
        <f aca="false">NA()</f>
        <v>#N/A</v>
      </c>
    </row>
    <row r="41" customFormat="false" ht="12" hidden="false" customHeight="true" outlineLevel="0" collapsed="false">
      <c r="I41" s="37" t="e">
        <f aca="false">NA()</f>
        <v>#N/A</v>
      </c>
      <c r="J41" s="37" t="e">
        <f aca="false">NA()</f>
        <v>#N/A</v>
      </c>
    </row>
    <row r="42" customFormat="false" ht="12" hidden="false" customHeight="true" outlineLevel="0" collapsed="false">
      <c r="I42" s="37" t="e">
        <f aca="false">NA()</f>
        <v>#N/A</v>
      </c>
      <c r="J42" s="37" t="e">
        <f aca="false">NA()</f>
        <v>#N/A</v>
      </c>
    </row>
    <row r="43" customFormat="false" ht="12" hidden="false" customHeight="true" outlineLevel="0" collapsed="false">
      <c r="I43" s="37" t="e">
        <f aca="false">NA()</f>
        <v>#N/A</v>
      </c>
      <c r="J43" s="37" t="e">
        <f aca="false">NA()</f>
        <v>#N/A</v>
      </c>
    </row>
    <row r="44" customFormat="false" ht="12" hidden="false" customHeight="true" outlineLevel="0" collapsed="false">
      <c r="I44" s="37" t="e">
        <f aca="false">NA()</f>
        <v>#N/A</v>
      </c>
      <c r="J44" s="37" t="e">
        <f aca="false">NA()</f>
        <v>#N/A</v>
      </c>
    </row>
    <row r="45" customFormat="false" ht="12" hidden="false" customHeight="true" outlineLevel="0" collapsed="false">
      <c r="I45" s="37" t="e">
        <f aca="false">NA()</f>
        <v>#N/A</v>
      </c>
      <c r="J45" s="37" t="e">
        <f aca="false">NA()</f>
        <v>#N/A</v>
      </c>
    </row>
    <row r="46" customFormat="false" ht="12" hidden="false" customHeight="true" outlineLevel="0" collapsed="false">
      <c r="I46" s="37" t="e">
        <f aca="false">NA()</f>
        <v>#N/A</v>
      </c>
      <c r="J46" s="37" t="e">
        <f aca="false">NA()</f>
        <v>#N/A</v>
      </c>
    </row>
    <row r="47" customFormat="false" ht="12" hidden="false" customHeight="true" outlineLevel="0" collapsed="false">
      <c r="I47" s="37" t="e">
        <f aca="false">NA()</f>
        <v>#N/A</v>
      </c>
      <c r="J47" s="37" t="e">
        <f aca="false">NA()</f>
        <v>#N/A</v>
      </c>
    </row>
    <row r="48" customFormat="false" ht="12" hidden="false" customHeight="true" outlineLevel="0" collapsed="false">
      <c r="I48" s="37" t="e">
        <f aca="false">NA()</f>
        <v>#N/A</v>
      </c>
      <c r="J48" s="37" t="e">
        <f aca="false">NA()</f>
        <v>#N/A</v>
      </c>
    </row>
    <row r="49" customFormat="false" ht="12" hidden="false" customHeight="true" outlineLevel="0" collapsed="false">
      <c r="I49" s="37" t="e">
        <f aca="false">NA()</f>
        <v>#N/A</v>
      </c>
      <c r="J49" s="37" t="e">
        <f aca="false">NA()</f>
        <v>#N/A</v>
      </c>
    </row>
    <row r="50" customFormat="false" ht="12" hidden="false" customHeight="true" outlineLevel="0" collapsed="false">
      <c r="I50" s="37" t="e">
        <f aca="false">NA()</f>
        <v>#N/A</v>
      </c>
      <c r="J50" s="37" t="e">
        <f aca="false">NA()</f>
        <v>#N/A</v>
      </c>
    </row>
    <row r="51" customFormat="false" ht="12" hidden="false" customHeight="true" outlineLevel="0" collapsed="false">
      <c r="I51" s="37" t="e">
        <f aca="false">NA()</f>
        <v>#N/A</v>
      </c>
      <c r="J51" s="37" t="e">
        <f aca="false">NA()</f>
        <v>#N/A</v>
      </c>
    </row>
    <row r="52" customFormat="false" ht="12" hidden="false" customHeight="true" outlineLevel="0" collapsed="false">
      <c r="I52" s="37" t="e">
        <f aca="false">NA()</f>
        <v>#N/A</v>
      </c>
      <c r="J52" s="37" t="e">
        <f aca="false">NA()</f>
        <v>#N/A</v>
      </c>
    </row>
    <row r="53" customFormat="false" ht="12" hidden="false" customHeight="true" outlineLevel="0" collapsed="false">
      <c r="I53" s="37" t="e">
        <f aca="false">NA()</f>
        <v>#N/A</v>
      </c>
      <c r="J53" s="37" t="e">
        <f aca="false">NA()</f>
        <v>#N/A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1"/>
  <sheetViews>
    <sheetView showFormulas="false" showGridLines="true" showRowColHeaders="true" showZeros="true" rightToLeft="false" tabSelected="false" showOutlineSymbols="true" defaultGridColor="true" view="normal" topLeftCell="A35" colorId="64" zoomScale="110" zoomScaleNormal="110" zoomScalePageLayoutView="100" workbookViewId="0">
      <selection pane="topLeft" activeCell="B24" activeCellId="0" sqref="B24"/>
    </sheetView>
  </sheetViews>
  <sheetFormatPr defaultColWidth="10.5" defaultRowHeight="12" zeroHeight="false" outlineLevelRow="0" outlineLevelCol="0"/>
  <cols>
    <col collapsed="false" customWidth="true" hidden="false" outlineLevel="0" max="1" min="1" style="0" width="41.49"/>
    <col collapsed="false" customWidth="true" hidden="false" outlineLevel="0" max="2" min="2" style="0" width="21.5"/>
    <col collapsed="false" customWidth="true" hidden="false" outlineLevel="0" max="3" min="3" style="0" width="9.49"/>
    <col collapsed="false" customWidth="true" hidden="false" outlineLevel="0" max="6" min="6" style="0" width="11.5"/>
    <col collapsed="false" customWidth="true" hidden="false" outlineLevel="0" max="8" min="8" style="0" width="22.49"/>
    <col collapsed="false" customWidth="false" hidden="true" outlineLevel="0" max="10" min="9" style="0" width="10.5"/>
    <col collapsed="false" customWidth="true" hidden="false" outlineLevel="0" max="11" min="11" style="0" width="22.49"/>
  </cols>
  <sheetData>
    <row r="1" s="6" customFormat="true" ht="12.75" hidden="false" customHeight="true" outlineLevel="0" collapsed="false">
      <c r="A1" s="24" t="s">
        <v>0</v>
      </c>
      <c r="B1" s="25" t="s">
        <v>1</v>
      </c>
      <c r="C1" s="25" t="s">
        <v>2</v>
      </c>
      <c r="D1" s="26" t="s">
        <v>3</v>
      </c>
      <c r="E1" s="27" t="s">
        <v>4</v>
      </c>
      <c r="F1" s="26" t="s">
        <v>5</v>
      </c>
      <c r="G1" s="27" t="s">
        <v>6</v>
      </c>
      <c r="H1" s="28" t="s">
        <v>7</v>
      </c>
      <c r="I1" s="35" t="s">
        <v>281</v>
      </c>
      <c r="J1" s="36" t="s">
        <v>1</v>
      </c>
      <c r="K1" s="28" t="s">
        <v>513</v>
      </c>
    </row>
    <row r="2" customFormat="false" ht="12" hidden="false" customHeight="true" outlineLevel="0" collapsed="false">
      <c r="A2" s="49" t="s">
        <v>452</v>
      </c>
      <c r="B2" s="49" t="s">
        <v>453</v>
      </c>
      <c r="C2" s="49" t="s">
        <v>70</v>
      </c>
      <c r="D2" s="49" t="n">
        <v>40150</v>
      </c>
      <c r="E2" s="49"/>
      <c r="F2" s="50" t="n">
        <v>222</v>
      </c>
      <c r="G2" s="50" t="s">
        <v>10</v>
      </c>
      <c r="H2" s="51" t="s">
        <v>110</v>
      </c>
      <c r="I2" s="37" t="e">
        <f aca="false">NA()</f>
        <v>#N/A</v>
      </c>
      <c r="J2" s="37" t="str">
        <f aca="false">B2</f>
        <v>Juan Rulfo</v>
      </c>
      <c r="K2" s="51"/>
    </row>
    <row r="3" customFormat="false" ht="12" hidden="false" customHeight="true" outlineLevel="0" collapsed="false">
      <c r="A3" s="49" t="s">
        <v>454</v>
      </c>
      <c r="B3" s="49" t="s">
        <v>455</v>
      </c>
      <c r="C3" s="49" t="s">
        <v>33</v>
      </c>
      <c r="D3" s="49" t="n">
        <v>40261</v>
      </c>
      <c r="E3" s="49"/>
      <c r="F3" s="50" t="n">
        <v>910</v>
      </c>
      <c r="G3" s="50" t="s">
        <v>10</v>
      </c>
      <c r="H3" s="51" t="s">
        <v>110</v>
      </c>
      <c r="I3" s="37" t="e">
        <f aca="false">NA()</f>
        <v>#N/A</v>
      </c>
      <c r="J3" s="37" t="str">
        <f aca="false">B3</f>
        <v>James Joyce</v>
      </c>
      <c r="K3" s="51"/>
    </row>
    <row r="4" customFormat="false" ht="12" hidden="false" customHeight="true" outlineLevel="0" collapsed="false">
      <c r="A4" s="49" t="s">
        <v>456</v>
      </c>
      <c r="B4" s="49" t="s">
        <v>457</v>
      </c>
      <c r="C4" s="49" t="s">
        <v>189</v>
      </c>
      <c r="D4" s="49" t="n">
        <v>40282</v>
      </c>
      <c r="E4" s="49"/>
      <c r="F4" s="50" t="n">
        <v>480</v>
      </c>
      <c r="G4" s="50" t="s">
        <v>10</v>
      </c>
      <c r="H4" s="51" t="s">
        <v>110</v>
      </c>
      <c r="I4" s="37" t="e">
        <f aca="false">NA()</f>
        <v>#N/A</v>
      </c>
      <c r="J4" s="37" t="str">
        <f aca="false">B4</f>
        <v>Ambrose Bierce</v>
      </c>
      <c r="K4" s="51"/>
    </row>
    <row r="5" customFormat="false" ht="12" hidden="false" customHeight="true" outlineLevel="0" collapsed="false">
      <c r="A5" s="49" t="s">
        <v>458</v>
      </c>
      <c r="B5" s="49" t="s">
        <v>459</v>
      </c>
      <c r="C5" s="49" t="s">
        <v>189</v>
      </c>
      <c r="D5" s="49" t="n">
        <v>40296</v>
      </c>
      <c r="E5" s="49"/>
      <c r="F5" s="50" t="n">
        <v>209</v>
      </c>
      <c r="G5" s="50" t="s">
        <v>10</v>
      </c>
      <c r="H5" s="51" t="s">
        <v>110</v>
      </c>
      <c r="I5" s="37" t="e">
        <f aca="false">NA()</f>
        <v>#N/A</v>
      </c>
      <c r="J5" s="37" t="str">
        <f aca="false">B5</f>
        <v>Dalton Trumbo</v>
      </c>
      <c r="K5" s="51"/>
    </row>
    <row r="6" customFormat="false" ht="12" hidden="false" customHeight="true" outlineLevel="0" collapsed="false">
      <c r="A6" s="49" t="s">
        <v>460</v>
      </c>
      <c r="B6" s="49" t="s">
        <v>461</v>
      </c>
      <c r="C6" s="49" t="s">
        <v>189</v>
      </c>
      <c r="D6" s="49" t="n">
        <v>40366</v>
      </c>
      <c r="E6" s="49"/>
      <c r="F6" s="50" t="n">
        <v>160</v>
      </c>
      <c r="G6" s="50" t="s">
        <v>24</v>
      </c>
      <c r="H6" s="51" t="s">
        <v>110</v>
      </c>
      <c r="I6" s="37" t="e">
        <f aca="false">NA()</f>
        <v>#N/A</v>
      </c>
      <c r="J6" s="37" t="str">
        <f aca="false">B6</f>
        <v>Michel Dansel</v>
      </c>
      <c r="K6" s="51"/>
    </row>
    <row r="7" customFormat="false" ht="12" hidden="false" customHeight="true" outlineLevel="0" collapsed="false">
      <c r="A7" s="49" t="s">
        <v>462</v>
      </c>
      <c r="B7" s="49" t="s">
        <v>285</v>
      </c>
      <c r="C7" s="49" t="s">
        <v>33</v>
      </c>
      <c r="D7" s="49" t="n">
        <v>40373</v>
      </c>
      <c r="E7" s="49"/>
      <c r="F7" s="50" t="n">
        <v>502</v>
      </c>
      <c r="G7" s="50" t="s">
        <v>24</v>
      </c>
      <c r="H7" s="51" t="s">
        <v>110</v>
      </c>
      <c r="I7" s="37" t="e">
        <f aca="false">NA()</f>
        <v>#N/A</v>
      </c>
      <c r="J7" s="37" t="str">
        <f aca="false">B7</f>
        <v>Varios</v>
      </c>
      <c r="K7" s="51"/>
    </row>
    <row r="8" customFormat="false" ht="12" hidden="false" customHeight="true" outlineLevel="0" collapsed="false">
      <c r="A8" s="49" t="s">
        <v>463</v>
      </c>
      <c r="B8" s="49" t="s">
        <v>464</v>
      </c>
      <c r="C8" s="49" t="s">
        <v>189</v>
      </c>
      <c r="D8" s="49" t="n">
        <v>40385</v>
      </c>
      <c r="E8" s="49"/>
      <c r="F8" s="50" t="n">
        <v>384</v>
      </c>
      <c r="G8" s="50" t="s">
        <v>58</v>
      </c>
      <c r="H8" s="51" t="s">
        <v>110</v>
      </c>
      <c r="I8" s="37" t="e">
        <f aca="false">NA()</f>
        <v>#N/A</v>
      </c>
      <c r="J8" s="37" t="str">
        <f aca="false">B8</f>
        <v>Primitivo Martínez</v>
      </c>
      <c r="K8" s="51"/>
    </row>
    <row r="9" customFormat="false" ht="12" hidden="false" customHeight="true" outlineLevel="0" collapsed="false">
      <c r="A9" s="49" t="s">
        <v>465</v>
      </c>
      <c r="B9" s="49" t="s">
        <v>466</v>
      </c>
      <c r="C9" s="49" t="s">
        <v>189</v>
      </c>
      <c r="D9" s="49" t="n">
        <v>40438</v>
      </c>
      <c r="E9" s="49"/>
      <c r="F9" s="50" t="n">
        <v>300</v>
      </c>
      <c r="G9" s="50" t="s">
        <v>202</v>
      </c>
      <c r="H9" s="51" t="s">
        <v>110</v>
      </c>
      <c r="I9" s="37" t="e">
        <f aca="false">NA()</f>
        <v>#N/A</v>
      </c>
      <c r="J9" s="37" t="str">
        <f aca="false">B9</f>
        <v>Richard Leakey</v>
      </c>
      <c r="K9" s="51"/>
    </row>
    <row r="10" customFormat="false" ht="12" hidden="false" customHeight="true" outlineLevel="0" collapsed="false">
      <c r="A10" s="49" t="s">
        <v>467</v>
      </c>
      <c r="B10" s="49" t="s">
        <v>468</v>
      </c>
      <c r="C10" s="49" t="s">
        <v>33</v>
      </c>
      <c r="D10" s="49"/>
      <c r="E10" s="49"/>
      <c r="F10" s="50" t="n">
        <v>338</v>
      </c>
      <c r="G10" s="50" t="s">
        <v>10</v>
      </c>
      <c r="H10" s="51" t="s">
        <v>110</v>
      </c>
      <c r="I10" s="37" t="e">
        <f aca="false">NA()</f>
        <v>#N/A</v>
      </c>
      <c r="J10" s="37" t="str">
        <f aca="false">B10</f>
        <v>Paul Auster</v>
      </c>
      <c r="K10" s="51"/>
    </row>
    <row r="11" customFormat="false" ht="12" hidden="false" customHeight="true" outlineLevel="0" collapsed="false">
      <c r="A11" s="49" t="s">
        <v>469</v>
      </c>
      <c r="B11" s="49" t="s">
        <v>470</v>
      </c>
      <c r="C11" s="49" t="s">
        <v>189</v>
      </c>
      <c r="D11" s="49" t="n">
        <v>40655</v>
      </c>
      <c r="E11" s="49"/>
      <c r="F11" s="50" t="n">
        <v>300</v>
      </c>
      <c r="G11" s="50" t="s">
        <v>24</v>
      </c>
      <c r="H11" s="51" t="s">
        <v>110</v>
      </c>
      <c r="I11" s="37" t="e">
        <f aca="false">NA()</f>
        <v>#N/A</v>
      </c>
      <c r="J11" s="37" t="str">
        <f aca="false">B11</f>
        <v>Umberto Eco</v>
      </c>
      <c r="K11" s="51"/>
    </row>
    <row r="12" customFormat="false" ht="12" hidden="false" customHeight="true" outlineLevel="0" collapsed="false">
      <c r="A12" s="49" t="s">
        <v>471</v>
      </c>
      <c r="B12" s="49" t="s">
        <v>472</v>
      </c>
      <c r="C12" s="49" t="s">
        <v>33</v>
      </c>
      <c r="D12" s="49" t="n">
        <v>40736</v>
      </c>
      <c r="E12" s="49"/>
      <c r="F12" s="50" t="n">
        <v>144</v>
      </c>
      <c r="G12" s="50" t="s">
        <v>24</v>
      </c>
      <c r="H12" s="51" t="s">
        <v>110</v>
      </c>
      <c r="I12" s="37" t="e">
        <f aca="false">NA()</f>
        <v>#N/A</v>
      </c>
      <c r="J12" s="37" t="str">
        <f aca="false">B12</f>
        <v>Comité invisible</v>
      </c>
      <c r="K12" s="51"/>
    </row>
    <row r="13" customFormat="false" ht="12" hidden="false" customHeight="true" outlineLevel="0" collapsed="false">
      <c r="A13" s="49" t="s">
        <v>525</v>
      </c>
      <c r="B13" s="49" t="s">
        <v>526</v>
      </c>
      <c r="C13" s="49" t="s">
        <v>189</v>
      </c>
      <c r="D13" s="49" t="n">
        <v>41801</v>
      </c>
      <c r="E13" s="49"/>
      <c r="F13" s="52" t="n">
        <v>272</v>
      </c>
      <c r="G13" s="52" t="s">
        <v>10</v>
      </c>
      <c r="H13" s="51" t="s">
        <v>110</v>
      </c>
      <c r="I13" s="37" t="e">
        <f aca="false">NA()</f>
        <v>#N/A</v>
      </c>
      <c r="J13" s="37" t="str">
        <f aca="false">B13</f>
        <v>Carlos Sisi</v>
      </c>
      <c r="K13" s="51"/>
    </row>
    <row r="14" customFormat="false" ht="12" hidden="false" customHeight="true" outlineLevel="0" collapsed="false">
      <c r="A14" s="49" t="s">
        <v>536</v>
      </c>
      <c r="B14" s="49" t="s">
        <v>537</v>
      </c>
      <c r="C14" s="49" t="s">
        <v>189</v>
      </c>
      <c r="D14" s="49" t="n">
        <v>42015</v>
      </c>
      <c r="E14" s="49"/>
      <c r="F14" s="52" t="n">
        <v>232</v>
      </c>
      <c r="G14" s="52" t="s">
        <v>10</v>
      </c>
      <c r="H14" s="51" t="s">
        <v>110</v>
      </c>
      <c r="I14" s="37" t="e">
        <f aca="false">NA()</f>
        <v>#N/A</v>
      </c>
      <c r="J14" s="37" t="str">
        <f aca="false">B14</f>
        <v>William Gibson</v>
      </c>
      <c r="K14" s="51"/>
    </row>
    <row r="15" customFormat="false" ht="12" hidden="false" customHeight="true" outlineLevel="0" collapsed="false">
      <c r="A15" s="44" t="s">
        <v>538</v>
      </c>
      <c r="B15" s="44" t="s">
        <v>539</v>
      </c>
      <c r="C15" s="44" t="s">
        <v>189</v>
      </c>
      <c r="D15" s="44" t="n">
        <v>42027</v>
      </c>
      <c r="E15" s="44" t="n">
        <v>42040</v>
      </c>
      <c r="F15" s="40" t="n">
        <v>408</v>
      </c>
      <c r="G15" s="40" t="s">
        <v>10</v>
      </c>
      <c r="H15" s="42" t="n">
        <v>8</v>
      </c>
      <c r="I15" s="37"/>
      <c r="J15" s="37" t="str">
        <f aca="false">B15</f>
        <v>Andy Weir</v>
      </c>
      <c r="K15" s="42"/>
    </row>
    <row r="16" customFormat="false" ht="12" hidden="false" customHeight="true" outlineLevel="0" collapsed="false">
      <c r="A16" s="44" t="s">
        <v>540</v>
      </c>
      <c r="B16" s="44" t="s">
        <v>443</v>
      </c>
      <c r="C16" s="44" t="s">
        <v>189</v>
      </c>
      <c r="D16" s="44" t="n">
        <v>42041</v>
      </c>
      <c r="E16" s="44" t="n">
        <v>42055</v>
      </c>
      <c r="F16" s="40" t="n">
        <v>776</v>
      </c>
      <c r="G16" s="40" t="s">
        <v>10</v>
      </c>
      <c r="H16" s="42" t="n">
        <v>9</v>
      </c>
      <c r="I16" s="37"/>
      <c r="J16" s="37" t="str">
        <f aca="false">B16</f>
        <v>Ramiro Pinilla</v>
      </c>
      <c r="K16" s="42"/>
    </row>
    <row r="17" customFormat="false" ht="12" hidden="false" customHeight="true" outlineLevel="0" collapsed="false">
      <c r="A17" s="44" t="s">
        <v>541</v>
      </c>
      <c r="B17" s="44" t="s">
        <v>443</v>
      </c>
      <c r="C17" s="44" t="s">
        <v>189</v>
      </c>
      <c r="D17" s="44" t="n">
        <v>42055</v>
      </c>
      <c r="E17" s="44" t="n">
        <v>42074</v>
      </c>
      <c r="F17" s="40" t="n">
        <v>656</v>
      </c>
      <c r="G17" s="40" t="s">
        <v>10</v>
      </c>
      <c r="H17" s="42" t="n">
        <v>9</v>
      </c>
      <c r="I17" s="37"/>
      <c r="J17" s="37" t="str">
        <f aca="false">B17</f>
        <v>Ramiro Pinilla</v>
      </c>
      <c r="K17" s="42"/>
    </row>
    <row r="18" customFormat="false" ht="12" hidden="false" customHeight="true" outlineLevel="0" collapsed="false">
      <c r="A18" s="44" t="s">
        <v>542</v>
      </c>
      <c r="B18" s="44" t="s">
        <v>543</v>
      </c>
      <c r="C18" s="44" t="s">
        <v>189</v>
      </c>
      <c r="D18" s="44" t="n">
        <v>42074</v>
      </c>
      <c r="E18" s="44" t="n">
        <v>42089</v>
      </c>
      <c r="F18" s="40" t="n">
        <v>600</v>
      </c>
      <c r="G18" s="40" t="s">
        <v>58</v>
      </c>
      <c r="H18" s="42" t="n">
        <v>7.5</v>
      </c>
      <c r="I18" s="37"/>
      <c r="J18" s="37" t="str">
        <f aca="false">B18</f>
        <v>Hugh Thomas</v>
      </c>
      <c r="K18" s="42"/>
    </row>
    <row r="19" customFormat="false" ht="12" hidden="false" customHeight="true" outlineLevel="0" collapsed="false">
      <c r="A19" s="44" t="s">
        <v>544</v>
      </c>
      <c r="B19" s="44" t="s">
        <v>543</v>
      </c>
      <c r="C19" s="44" t="s">
        <v>189</v>
      </c>
      <c r="D19" s="44" t="n">
        <v>42089</v>
      </c>
      <c r="E19" s="44" t="n">
        <v>42109</v>
      </c>
      <c r="F19" s="40" t="n">
        <v>600</v>
      </c>
      <c r="G19" s="40" t="s">
        <v>58</v>
      </c>
      <c r="H19" s="42" t="n">
        <v>7.5</v>
      </c>
      <c r="I19" s="37"/>
      <c r="J19" s="37" t="str">
        <f aca="false">B19</f>
        <v>Hugh Thomas</v>
      </c>
      <c r="K19" s="42"/>
    </row>
    <row r="20" customFormat="false" ht="12" hidden="false" customHeight="true" outlineLevel="0" collapsed="false">
      <c r="A20" s="44" t="s">
        <v>545</v>
      </c>
      <c r="B20" s="44" t="s">
        <v>546</v>
      </c>
      <c r="C20" s="44" t="s">
        <v>189</v>
      </c>
      <c r="D20" s="44" t="n">
        <v>42109</v>
      </c>
      <c r="E20" s="44" t="n">
        <v>42117</v>
      </c>
      <c r="F20" s="40" t="n">
        <v>216</v>
      </c>
      <c r="G20" s="40" t="s">
        <v>371</v>
      </c>
      <c r="H20" s="42" t="n">
        <v>5</v>
      </c>
      <c r="I20" s="37"/>
      <c r="J20" s="37" t="str">
        <f aca="false">B20</f>
        <v>John Paulos</v>
      </c>
      <c r="K20" s="42"/>
    </row>
    <row r="21" customFormat="false" ht="12" hidden="false" customHeight="true" outlineLevel="0" collapsed="false">
      <c r="A21" s="44" t="s">
        <v>547</v>
      </c>
      <c r="B21" s="44" t="s">
        <v>548</v>
      </c>
      <c r="C21" s="44" t="s">
        <v>189</v>
      </c>
      <c r="D21" s="44" t="n">
        <v>42117</v>
      </c>
      <c r="E21" s="44" t="n">
        <v>42130</v>
      </c>
      <c r="F21" s="40" t="n">
        <v>400</v>
      </c>
      <c r="G21" s="40" t="s">
        <v>10</v>
      </c>
      <c r="H21" s="42" t="n">
        <v>7.6</v>
      </c>
      <c r="I21" s="37"/>
      <c r="J21" s="37" t="str">
        <f aca="false">B21</f>
        <v>Curzio Malaparte</v>
      </c>
      <c r="K21" s="42"/>
    </row>
    <row r="22" customFormat="false" ht="12" hidden="false" customHeight="true" outlineLevel="0" collapsed="false">
      <c r="A22" s="44" t="s">
        <v>549</v>
      </c>
      <c r="B22" s="44" t="s">
        <v>550</v>
      </c>
      <c r="C22" s="44" t="s">
        <v>189</v>
      </c>
      <c r="D22" s="44" t="n">
        <v>42130</v>
      </c>
      <c r="E22" s="44" t="n">
        <v>42142</v>
      </c>
      <c r="F22" s="40" t="n">
        <v>352</v>
      </c>
      <c r="G22" s="40" t="s">
        <v>10</v>
      </c>
      <c r="H22" s="42" t="n">
        <v>9</v>
      </c>
      <c r="I22" s="37"/>
      <c r="J22" s="37" t="str">
        <f aca="false">B22</f>
        <v>Victor Conde</v>
      </c>
      <c r="K22" s="42"/>
    </row>
    <row r="23" customFormat="false" ht="12" hidden="false" customHeight="true" outlineLevel="0" collapsed="false">
      <c r="A23" s="44" t="s">
        <v>551</v>
      </c>
      <c r="B23" s="44" t="s">
        <v>130</v>
      </c>
      <c r="C23" s="44" t="s">
        <v>189</v>
      </c>
      <c r="D23" s="44" t="n">
        <v>42143</v>
      </c>
      <c r="E23" s="44" t="n">
        <v>42149</v>
      </c>
      <c r="F23" s="40" t="n">
        <v>192</v>
      </c>
      <c r="G23" s="40" t="s">
        <v>10</v>
      </c>
      <c r="H23" s="42" t="n">
        <v>7</v>
      </c>
      <c r="I23" s="37"/>
      <c r="J23" s="37" t="str">
        <f aca="false">B23</f>
        <v>Miguel Delibes</v>
      </c>
      <c r="K23" s="42"/>
    </row>
    <row r="24" customFormat="false" ht="12" hidden="false" customHeight="true" outlineLevel="0" collapsed="false">
      <c r="A24" s="44" t="s">
        <v>552</v>
      </c>
      <c r="B24" s="44" t="s">
        <v>553</v>
      </c>
      <c r="C24" s="44" t="s">
        <v>189</v>
      </c>
      <c r="D24" s="44" t="n">
        <v>42149</v>
      </c>
      <c r="E24" s="44" t="n">
        <v>42164</v>
      </c>
      <c r="F24" s="40" t="n">
        <v>528</v>
      </c>
      <c r="G24" s="40" t="s">
        <v>10</v>
      </c>
      <c r="H24" s="42" t="n">
        <v>8</v>
      </c>
      <c r="I24" s="37"/>
      <c r="J24" s="37" t="str">
        <f aca="false">B24</f>
        <v>Steven Pressfield</v>
      </c>
      <c r="K24" s="42"/>
    </row>
    <row r="25" customFormat="false" ht="12" hidden="false" customHeight="true" outlineLevel="0" collapsed="false">
      <c r="A25" s="44" t="s">
        <v>554</v>
      </c>
      <c r="B25" s="44" t="s">
        <v>130</v>
      </c>
      <c r="C25" s="44" t="s">
        <v>189</v>
      </c>
      <c r="D25" s="44" t="n">
        <v>42164</v>
      </c>
      <c r="E25" s="44" t="n">
        <v>42173</v>
      </c>
      <c r="F25" s="40" t="n">
        <v>352</v>
      </c>
      <c r="G25" s="40" t="s">
        <v>10</v>
      </c>
      <c r="H25" s="42" t="n">
        <v>5</v>
      </c>
      <c r="I25" s="37"/>
      <c r="J25" s="37" t="str">
        <f aca="false">B25</f>
        <v>Miguel Delibes</v>
      </c>
      <c r="K25" s="42"/>
    </row>
    <row r="26" customFormat="false" ht="12" hidden="false" customHeight="true" outlineLevel="0" collapsed="false">
      <c r="A26" s="44" t="s">
        <v>555</v>
      </c>
      <c r="B26" s="44" t="s">
        <v>556</v>
      </c>
      <c r="C26" s="44" t="s">
        <v>33</v>
      </c>
      <c r="D26" s="44" t="n">
        <v>42171</v>
      </c>
      <c r="E26" s="44" t="n">
        <v>42174</v>
      </c>
      <c r="F26" s="40" t="n">
        <v>109</v>
      </c>
      <c r="G26" s="40" t="s">
        <v>24</v>
      </c>
      <c r="H26" s="42" t="n">
        <v>9</v>
      </c>
      <c r="I26" s="37"/>
      <c r="J26" s="37" t="str">
        <f aca="false">B26</f>
        <v>Quique Peinado</v>
      </c>
      <c r="K26" s="42"/>
    </row>
    <row r="27" customFormat="false" ht="12" hidden="false" customHeight="true" outlineLevel="0" collapsed="false">
      <c r="A27" s="44" t="s">
        <v>557</v>
      </c>
      <c r="B27" s="44" t="s">
        <v>261</v>
      </c>
      <c r="C27" s="44" t="s">
        <v>189</v>
      </c>
      <c r="D27" s="44" t="n">
        <v>42174</v>
      </c>
      <c r="E27" s="44" t="n">
        <v>42179</v>
      </c>
      <c r="F27" s="40" t="n">
        <v>192</v>
      </c>
      <c r="G27" s="40" t="s">
        <v>371</v>
      </c>
      <c r="H27" s="42" t="n">
        <v>6</v>
      </c>
      <c r="I27" s="37"/>
      <c r="J27" s="37" t="str">
        <f aca="false">B27</f>
        <v>Isaac Asimov</v>
      </c>
      <c r="K27" s="42"/>
    </row>
    <row r="28" customFormat="false" ht="12" hidden="false" customHeight="true" outlineLevel="0" collapsed="false">
      <c r="A28" s="44" t="s">
        <v>558</v>
      </c>
      <c r="B28" s="44" t="s">
        <v>559</v>
      </c>
      <c r="C28" s="44" t="s">
        <v>33</v>
      </c>
      <c r="D28" s="44" t="n">
        <v>42174</v>
      </c>
      <c r="E28" s="44" t="n">
        <v>42185</v>
      </c>
      <c r="F28" s="40" t="n">
        <v>245</v>
      </c>
      <c r="G28" s="40" t="s">
        <v>560</v>
      </c>
      <c r="H28" s="42" t="n">
        <v>8</v>
      </c>
      <c r="I28" s="37"/>
      <c r="J28" s="37" t="str">
        <f aca="false">B28</f>
        <v>Francisco Peregil</v>
      </c>
      <c r="K28" s="42"/>
    </row>
    <row r="29" customFormat="false" ht="12" hidden="false" customHeight="true" outlineLevel="0" collapsed="false">
      <c r="A29" s="44" t="s">
        <v>561</v>
      </c>
      <c r="B29" s="44" t="s">
        <v>261</v>
      </c>
      <c r="C29" s="44" t="s">
        <v>189</v>
      </c>
      <c r="D29" s="44" t="n">
        <v>42179</v>
      </c>
      <c r="E29" s="44" t="n">
        <v>42185</v>
      </c>
      <c r="F29" s="40" t="n">
        <v>352</v>
      </c>
      <c r="G29" s="40" t="s">
        <v>562</v>
      </c>
      <c r="H29" s="42" t="n">
        <v>6</v>
      </c>
      <c r="I29" s="37"/>
      <c r="J29" s="37" t="str">
        <f aca="false">B29</f>
        <v>Isaac Asimov</v>
      </c>
      <c r="K29" s="42"/>
    </row>
    <row r="30" customFormat="false" ht="12" hidden="false" customHeight="true" outlineLevel="0" collapsed="false">
      <c r="A30" s="44" t="s">
        <v>563</v>
      </c>
      <c r="B30" s="44" t="s">
        <v>564</v>
      </c>
      <c r="C30" s="44" t="s">
        <v>189</v>
      </c>
      <c r="D30" s="44" t="n">
        <v>42185</v>
      </c>
      <c r="E30" s="44" t="n">
        <v>42196</v>
      </c>
      <c r="F30" s="40" t="n">
        <v>456</v>
      </c>
      <c r="G30" s="40" t="s">
        <v>371</v>
      </c>
      <c r="H30" s="42" t="n">
        <v>6</v>
      </c>
      <c r="I30" s="37"/>
      <c r="J30" s="37" t="str">
        <f aca="false">B30</f>
        <v>Pere Estupinya</v>
      </c>
      <c r="K30" s="42"/>
    </row>
    <row r="31" customFormat="false" ht="12" hidden="false" customHeight="true" outlineLevel="0" collapsed="false">
      <c r="A31" s="44" t="s">
        <v>565</v>
      </c>
      <c r="B31" s="44" t="s">
        <v>443</v>
      </c>
      <c r="C31" s="44" t="s">
        <v>189</v>
      </c>
      <c r="D31" s="44" t="n">
        <v>42196</v>
      </c>
      <c r="E31" s="44" t="n">
        <v>42201</v>
      </c>
      <c r="F31" s="40" t="n">
        <v>232</v>
      </c>
      <c r="G31" s="40" t="s">
        <v>10</v>
      </c>
      <c r="H31" s="42" t="n">
        <v>7.6</v>
      </c>
      <c r="I31" s="37"/>
      <c r="J31" s="37" t="str">
        <f aca="false">B31</f>
        <v>Ramiro Pinilla</v>
      </c>
      <c r="K31" s="42"/>
    </row>
    <row r="32" customFormat="false" ht="12" hidden="false" customHeight="true" outlineLevel="0" collapsed="false">
      <c r="A32" s="44" t="s">
        <v>566</v>
      </c>
      <c r="B32" s="44" t="s">
        <v>567</v>
      </c>
      <c r="C32" s="44" t="s">
        <v>189</v>
      </c>
      <c r="D32" s="44" t="n">
        <v>42201</v>
      </c>
      <c r="E32" s="44" t="n">
        <v>42211</v>
      </c>
      <c r="F32" s="40" t="n">
        <v>672</v>
      </c>
      <c r="G32" s="40" t="s">
        <v>10</v>
      </c>
      <c r="H32" s="42" t="n">
        <v>8.7</v>
      </c>
      <c r="I32" s="37"/>
      <c r="J32" s="37" t="str">
        <f aca="false">B32</f>
        <v>Joël Dicker</v>
      </c>
      <c r="K32" s="42"/>
    </row>
    <row r="33" customFormat="false" ht="12" hidden="false" customHeight="true" outlineLevel="0" collapsed="false">
      <c r="A33" s="44" t="s">
        <v>568</v>
      </c>
      <c r="B33" s="44" t="s">
        <v>569</v>
      </c>
      <c r="C33" s="44" t="s">
        <v>189</v>
      </c>
      <c r="D33" s="44" t="n">
        <v>42211</v>
      </c>
      <c r="E33" s="44" t="n">
        <v>42233</v>
      </c>
      <c r="F33" s="40" t="n">
        <v>481</v>
      </c>
      <c r="G33" s="40" t="s">
        <v>58</v>
      </c>
      <c r="H33" s="42" t="n">
        <v>8</v>
      </c>
      <c r="I33" s="37"/>
      <c r="J33" s="37" t="str">
        <f aca="false">B33</f>
        <v>David Drew</v>
      </c>
      <c r="K33" s="42"/>
    </row>
    <row r="34" customFormat="false" ht="12" hidden="false" customHeight="true" outlineLevel="0" collapsed="false">
      <c r="A34" s="44" t="s">
        <v>570</v>
      </c>
      <c r="B34" s="44" t="s">
        <v>571</v>
      </c>
      <c r="C34" s="44" t="s">
        <v>189</v>
      </c>
      <c r="D34" s="44" t="n">
        <v>42233</v>
      </c>
      <c r="E34" s="44" t="n">
        <v>42278</v>
      </c>
      <c r="F34" s="40" t="n">
        <v>1376</v>
      </c>
      <c r="G34" s="40" t="s">
        <v>10</v>
      </c>
      <c r="H34" s="42" t="n">
        <v>6</v>
      </c>
      <c r="I34" s="37"/>
      <c r="J34" s="37" t="str">
        <f aca="false">B34</f>
        <v>Frank Schazting</v>
      </c>
      <c r="K34" s="42"/>
    </row>
    <row r="35" customFormat="false" ht="12" hidden="false" customHeight="true" outlineLevel="0" collapsed="false">
      <c r="A35" s="49" t="s">
        <v>384</v>
      </c>
      <c r="B35" s="49" t="s">
        <v>208</v>
      </c>
      <c r="C35" s="49" t="s">
        <v>33</v>
      </c>
      <c r="D35" s="49" t="n">
        <v>42241</v>
      </c>
      <c r="E35" s="49"/>
      <c r="F35" s="52" t="n">
        <v>736</v>
      </c>
      <c r="G35" s="49" t="s">
        <v>10</v>
      </c>
      <c r="H35" s="49"/>
      <c r="I35" s="49" t="e">
        <f aca="false">NA()</f>
        <v>#N/A</v>
      </c>
      <c r="J35" s="49" t="str">
        <f aca="false">B35</f>
        <v>Neal Stephenson</v>
      </c>
      <c r="K35" s="49"/>
    </row>
    <row r="36" customFormat="false" ht="12" hidden="false" customHeight="true" outlineLevel="0" collapsed="false">
      <c r="A36" s="44" t="s">
        <v>572</v>
      </c>
      <c r="B36" s="44" t="s">
        <v>573</v>
      </c>
      <c r="C36" s="44" t="s">
        <v>189</v>
      </c>
      <c r="D36" s="44" t="n">
        <v>42279</v>
      </c>
      <c r="E36" s="44" t="n">
        <v>42283</v>
      </c>
      <c r="F36" s="40" t="n">
        <v>128</v>
      </c>
      <c r="G36" s="40" t="s">
        <v>10</v>
      </c>
      <c r="H36" s="42" t="n">
        <v>7.6</v>
      </c>
      <c r="I36" s="37" t="e">
        <f aca="false">NA()</f>
        <v>#N/A</v>
      </c>
      <c r="J36" s="37" t="str">
        <f aca="false">B36</f>
        <v>Montero González</v>
      </c>
      <c r="K36" s="42"/>
    </row>
    <row r="37" customFormat="false" ht="12" hidden="false" customHeight="true" outlineLevel="0" collapsed="false">
      <c r="A37" s="44" t="s">
        <v>574</v>
      </c>
      <c r="B37" s="44" t="s">
        <v>575</v>
      </c>
      <c r="C37" s="44" t="s">
        <v>189</v>
      </c>
      <c r="D37" s="44" t="n">
        <v>42283</v>
      </c>
      <c r="E37" s="44" t="n">
        <v>42297</v>
      </c>
      <c r="F37" s="40" t="n">
        <v>464</v>
      </c>
      <c r="G37" s="40" t="s">
        <v>371</v>
      </c>
      <c r="H37" s="42" t="n">
        <v>5</v>
      </c>
      <c r="I37" s="37" t="e">
        <f aca="false">NA()</f>
        <v>#N/A</v>
      </c>
      <c r="J37" s="37" t="str">
        <f aca="false">B37</f>
        <v>Stephen Jay Gould</v>
      </c>
      <c r="K37" s="42" t="n">
        <v>1983</v>
      </c>
    </row>
    <row r="38" customFormat="false" ht="12" hidden="false" customHeight="true" outlineLevel="0" collapsed="false">
      <c r="A38" s="44" t="s">
        <v>576</v>
      </c>
      <c r="B38" s="44" t="s">
        <v>577</v>
      </c>
      <c r="C38" s="44" t="s">
        <v>189</v>
      </c>
      <c r="D38" s="44" t="n">
        <v>42297</v>
      </c>
      <c r="E38" s="44" t="n">
        <v>42311</v>
      </c>
      <c r="F38" s="40" t="n">
        <v>424</v>
      </c>
      <c r="G38" s="40" t="s">
        <v>10</v>
      </c>
      <c r="H38" s="42" t="n">
        <v>8</v>
      </c>
      <c r="I38" s="37" t="e">
        <f aca="false">NA()</f>
        <v>#N/A</v>
      </c>
      <c r="J38" s="37" t="str">
        <f aca="false">B38</f>
        <v>Rafael Chirbes</v>
      </c>
      <c r="K38" s="42" t="n">
        <v>2007</v>
      </c>
    </row>
    <row r="39" customFormat="false" ht="12" hidden="false" customHeight="true" outlineLevel="0" collapsed="false">
      <c r="A39" s="44" t="s">
        <v>578</v>
      </c>
      <c r="B39" s="44" t="s">
        <v>495</v>
      </c>
      <c r="C39" s="44" t="s">
        <v>189</v>
      </c>
      <c r="D39" s="44" t="n">
        <v>42311</v>
      </c>
      <c r="E39" s="44" t="n">
        <v>42313</v>
      </c>
      <c r="F39" s="40" t="n">
        <v>288</v>
      </c>
      <c r="G39" s="40" t="s">
        <v>390</v>
      </c>
      <c r="H39" s="42" t="n">
        <v>8</v>
      </c>
      <c r="I39" s="37" t="e">
        <f aca="false">NA()</f>
        <v>#N/A</v>
      </c>
      <c r="J39" s="37" t="str">
        <f aca="false">B39</f>
        <v>Federico García Lorca</v>
      </c>
      <c r="K39" s="42" t="n">
        <v>1936</v>
      </c>
    </row>
    <row r="40" customFormat="false" ht="12" hidden="false" customHeight="true" outlineLevel="0" collapsed="false">
      <c r="A40" s="49" t="s">
        <v>579</v>
      </c>
      <c r="B40" s="49" t="s">
        <v>580</v>
      </c>
      <c r="C40" s="49" t="s">
        <v>189</v>
      </c>
      <c r="D40" s="49" t="n">
        <v>42313</v>
      </c>
      <c r="E40" s="49"/>
      <c r="F40" s="52" t="n">
        <v>1548</v>
      </c>
      <c r="G40" s="49" t="s">
        <v>58</v>
      </c>
      <c r="H40" s="49"/>
      <c r="I40" s="49" t="e">
        <f aca="false">NA()</f>
        <v>#N/A</v>
      </c>
      <c r="J40" s="49" t="str">
        <f aca="false">B40</f>
        <v>Bernar Diaz del Castillo</v>
      </c>
      <c r="K40" s="49"/>
    </row>
    <row r="41" customFormat="false" ht="12" hidden="false" customHeight="true" outlineLevel="0" collapsed="false">
      <c r="A41" s="44" t="s">
        <v>581</v>
      </c>
      <c r="B41" s="44" t="s">
        <v>582</v>
      </c>
      <c r="C41" s="44" t="s">
        <v>189</v>
      </c>
      <c r="D41" s="44" t="n">
        <v>42313</v>
      </c>
      <c r="E41" s="44" t="n">
        <v>42325</v>
      </c>
      <c r="F41" s="40" t="n">
        <v>272</v>
      </c>
      <c r="G41" s="40" t="s">
        <v>371</v>
      </c>
      <c r="H41" s="42" t="n">
        <v>6</v>
      </c>
      <c r="I41" s="37" t="e">
        <f aca="false">NA()</f>
        <v>#N/A</v>
      </c>
      <c r="J41" s="37" t="str">
        <f aca="false">B41</f>
        <v>Andrew Blum</v>
      </c>
      <c r="K41" s="42" t="n">
        <v>2012</v>
      </c>
    </row>
    <row r="42" customFormat="false" ht="12" hidden="false" customHeight="true" outlineLevel="0" collapsed="false">
      <c r="A42" s="44" t="s">
        <v>583</v>
      </c>
      <c r="B42" s="44" t="s">
        <v>584</v>
      </c>
      <c r="C42" s="44" t="s">
        <v>189</v>
      </c>
      <c r="D42" s="44" t="n">
        <v>42325</v>
      </c>
      <c r="E42" s="44" t="n">
        <v>42354</v>
      </c>
      <c r="F42" s="40" t="n">
        <v>928</v>
      </c>
      <c r="G42" s="40" t="s">
        <v>58</v>
      </c>
      <c r="H42" s="42" t="n">
        <v>7</v>
      </c>
      <c r="I42" s="37" t="e">
        <f aca="false">NA()</f>
        <v>#N/A</v>
      </c>
      <c r="J42" s="37" t="str">
        <f aca="false">B42</f>
        <v>Martin Gilbert</v>
      </c>
      <c r="K42" s="42" t="n">
        <v>2004</v>
      </c>
    </row>
    <row r="43" customFormat="false" ht="12" hidden="false" customHeight="true" outlineLevel="0" collapsed="false">
      <c r="A43" s="44" t="s">
        <v>585</v>
      </c>
      <c r="B43" s="44" t="s">
        <v>130</v>
      </c>
      <c r="C43" s="44" t="s">
        <v>189</v>
      </c>
      <c r="D43" s="44" t="n">
        <v>42354</v>
      </c>
      <c r="E43" s="44" t="n">
        <v>42357</v>
      </c>
      <c r="F43" s="40" t="n">
        <v>192</v>
      </c>
      <c r="G43" s="40" t="s">
        <v>10</v>
      </c>
      <c r="H43" s="42" t="n">
        <v>8</v>
      </c>
      <c r="I43" s="37" t="e">
        <f aca="false">NA()</f>
        <v>#N/A</v>
      </c>
      <c r="J43" s="37" t="str">
        <f aca="false">B43</f>
        <v>Miguel Delibes</v>
      </c>
      <c r="K43" s="42" t="n">
        <v>1981</v>
      </c>
    </row>
    <row r="44" customFormat="false" ht="12" hidden="false" customHeight="true" outlineLevel="0" collapsed="false">
      <c r="F44" s="32" t="n">
        <f aca="false">SUMIFS(F2:F43,E2:E43,"&gt;0")</f>
        <v>11891</v>
      </c>
      <c r="G44" s="33"/>
      <c r="H44" s="34" t="n">
        <f aca="false">GEOMEAN(H2:H43)</f>
        <v>7.20034843207985</v>
      </c>
      <c r="I44" s="37" t="e">
        <f aca="false">NA()</f>
        <v>#N/A</v>
      </c>
      <c r="J44" s="37" t="e">
        <f aca="false">NA()</f>
        <v>#N/A</v>
      </c>
      <c r="K44" s="34"/>
    </row>
    <row r="45" customFormat="false" ht="12" hidden="false" customHeight="true" outlineLevel="0" collapsed="false">
      <c r="A45" s="24" t="s">
        <v>275</v>
      </c>
      <c r="I45" s="37" t="e">
        <f aca="false">NA()</f>
        <v>#N/A</v>
      </c>
      <c r="J45" s="37" t="e">
        <f aca="false">NA()</f>
        <v>#N/A</v>
      </c>
    </row>
    <row r="46" customFormat="false" ht="24" hidden="false" customHeight="true" outlineLevel="0" collapsed="false">
      <c r="A46" s="6" t="s">
        <v>277</v>
      </c>
      <c r="B46" s="6" t="s">
        <v>278</v>
      </c>
      <c r="C46" s="6" t="s">
        <v>279</v>
      </c>
      <c r="D46" s="6" t="s">
        <v>280</v>
      </c>
      <c r="I46" s="37" t="e">
        <f aca="false">NA()</f>
        <v>#N/A</v>
      </c>
      <c r="J46" s="37" t="e">
        <f aca="false">NA()</f>
        <v>#N/A</v>
      </c>
    </row>
    <row r="47" customFormat="false" ht="12" hidden="false" customHeight="true" outlineLevel="0" collapsed="false">
      <c r="A47" s="6" t="n">
        <f aca="false">COUNTIF(E2:E43,"&gt;0")</f>
        <v>27</v>
      </c>
      <c r="B47" s="6" t="n">
        <f aca="false">ROUND(F44/A47,0)</f>
        <v>440</v>
      </c>
      <c r="C47" s="6" t="e">
        <f aca="false">INDEX(J2:J71,MATCH(MAX(I2:I71),I2:I71,0),1)</f>
        <v>#N/A</v>
      </c>
      <c r="D47" s="6"/>
      <c r="I47" s="37" t="e">
        <f aca="false">NA()</f>
        <v>#N/A</v>
      </c>
      <c r="J47" s="37" t="e">
        <f aca="false">NA()</f>
        <v>#N/A</v>
      </c>
    </row>
    <row r="48" customFormat="false" ht="12" hidden="false" customHeight="true" outlineLevel="0" collapsed="false">
      <c r="I48" s="37" t="e">
        <f aca="false">NA()</f>
        <v>#N/A</v>
      </c>
      <c r="J48" s="37" t="e">
        <f aca="false">NA()</f>
        <v>#N/A</v>
      </c>
    </row>
    <row r="49" customFormat="false" ht="12" hidden="false" customHeight="true" outlineLevel="0" collapsed="false">
      <c r="I49" s="37" t="e">
        <f aca="false">NA()</f>
        <v>#N/A</v>
      </c>
      <c r="J49" s="37" t="e">
        <f aca="false">NA()</f>
        <v>#N/A</v>
      </c>
    </row>
    <row r="50" customFormat="false" ht="12" hidden="false" customHeight="true" outlineLevel="0" collapsed="false">
      <c r="I50" s="37" t="e">
        <f aca="false">NA()</f>
        <v>#N/A</v>
      </c>
      <c r="J50" s="37" t="e">
        <f aca="false">NA()</f>
        <v>#N/A</v>
      </c>
    </row>
    <row r="51" customFormat="false" ht="12" hidden="false" customHeight="true" outlineLevel="0" collapsed="false">
      <c r="I51" s="37" t="e">
        <f aca="false">NA()</f>
        <v>#N/A</v>
      </c>
      <c r="J51" s="37" t="e">
        <f aca="false">NA()</f>
        <v>#N/A</v>
      </c>
    </row>
    <row r="52" customFormat="false" ht="12" hidden="false" customHeight="true" outlineLevel="0" collapsed="false">
      <c r="I52" s="37" t="e">
        <f aca="false">NA()</f>
        <v>#N/A</v>
      </c>
      <c r="J52" s="37" t="e">
        <f aca="false">NA()</f>
        <v>#N/A</v>
      </c>
    </row>
    <row r="53" customFormat="false" ht="12" hidden="false" customHeight="true" outlineLevel="0" collapsed="false">
      <c r="I53" s="37" t="e">
        <f aca="false">NA()</f>
        <v>#N/A</v>
      </c>
      <c r="J53" s="37" t="e">
        <f aca="false">NA()</f>
        <v>#N/A</v>
      </c>
    </row>
    <row r="54" customFormat="false" ht="12" hidden="false" customHeight="true" outlineLevel="0" collapsed="false">
      <c r="I54" s="37" t="e">
        <f aca="false">NA()</f>
        <v>#N/A</v>
      </c>
      <c r="J54" s="37" t="e">
        <f aca="false">NA()</f>
        <v>#N/A</v>
      </c>
    </row>
    <row r="55" customFormat="false" ht="12" hidden="false" customHeight="true" outlineLevel="0" collapsed="false">
      <c r="I55" s="37" t="e">
        <f aca="false">NA()</f>
        <v>#N/A</v>
      </c>
      <c r="J55" s="37" t="e">
        <f aca="false">NA()</f>
        <v>#N/A</v>
      </c>
    </row>
    <row r="56" customFormat="false" ht="12" hidden="false" customHeight="true" outlineLevel="0" collapsed="false">
      <c r="I56" s="37" t="e">
        <f aca="false">NA()</f>
        <v>#N/A</v>
      </c>
      <c r="J56" s="37" t="e">
        <f aca="false">NA()</f>
        <v>#N/A</v>
      </c>
    </row>
    <row r="57" customFormat="false" ht="12" hidden="false" customHeight="true" outlineLevel="0" collapsed="false">
      <c r="I57" s="37" t="e">
        <f aca="false">NA()</f>
        <v>#N/A</v>
      </c>
      <c r="J57" s="37" t="e">
        <f aca="false">NA()</f>
        <v>#N/A</v>
      </c>
    </row>
    <row r="58" customFormat="false" ht="12" hidden="false" customHeight="true" outlineLevel="0" collapsed="false">
      <c r="I58" s="37" t="e">
        <f aca="false">NA()</f>
        <v>#N/A</v>
      </c>
      <c r="J58" s="37" t="e">
        <f aca="false">NA()</f>
        <v>#N/A</v>
      </c>
    </row>
    <row r="59" customFormat="false" ht="12" hidden="false" customHeight="true" outlineLevel="0" collapsed="false">
      <c r="I59" s="37" t="e">
        <f aca="false">NA()</f>
        <v>#N/A</v>
      </c>
      <c r="J59" s="37" t="e">
        <f aca="false">NA()</f>
        <v>#N/A</v>
      </c>
    </row>
    <row r="60" customFormat="false" ht="12" hidden="false" customHeight="true" outlineLevel="0" collapsed="false">
      <c r="I60" s="37" t="e">
        <f aca="false">NA()</f>
        <v>#N/A</v>
      </c>
      <c r="J60" s="37" t="e">
        <f aca="false">NA()</f>
        <v>#N/A</v>
      </c>
    </row>
    <row r="61" customFormat="false" ht="12" hidden="false" customHeight="true" outlineLevel="0" collapsed="false">
      <c r="I61" s="37" t="e">
        <f aca="false">NA()</f>
        <v>#N/A</v>
      </c>
      <c r="J61" s="37" t="e">
        <f aca="false">NA()</f>
        <v>#N/A</v>
      </c>
    </row>
    <row r="62" customFormat="false" ht="12" hidden="false" customHeight="true" outlineLevel="0" collapsed="false">
      <c r="I62" s="37" t="e">
        <f aca="false">NA()</f>
        <v>#N/A</v>
      </c>
      <c r="J62" s="37" t="e">
        <f aca="false">NA()</f>
        <v>#N/A</v>
      </c>
    </row>
    <row r="63" customFormat="false" ht="12" hidden="false" customHeight="true" outlineLevel="0" collapsed="false">
      <c r="I63" s="37" t="e">
        <f aca="false">NA()</f>
        <v>#N/A</v>
      </c>
      <c r="J63" s="37" t="e">
        <f aca="false">NA()</f>
        <v>#N/A</v>
      </c>
    </row>
    <row r="64" customFormat="false" ht="12" hidden="false" customHeight="true" outlineLevel="0" collapsed="false">
      <c r="I64" s="37" t="e">
        <f aca="false">NA()</f>
        <v>#N/A</v>
      </c>
      <c r="J64" s="37" t="e">
        <f aca="false">NA()</f>
        <v>#N/A</v>
      </c>
    </row>
    <row r="65" customFormat="false" ht="12" hidden="false" customHeight="true" outlineLevel="0" collapsed="false">
      <c r="I65" s="37" t="e">
        <f aca="false">NA()</f>
        <v>#N/A</v>
      </c>
      <c r="J65" s="37" t="e">
        <f aca="false">NA()</f>
        <v>#N/A</v>
      </c>
    </row>
    <row r="66" customFormat="false" ht="12" hidden="false" customHeight="true" outlineLevel="0" collapsed="false">
      <c r="I66" s="37" t="e">
        <f aca="false">NA()</f>
        <v>#N/A</v>
      </c>
      <c r="J66" s="37" t="e">
        <f aca="false">NA()</f>
        <v>#N/A</v>
      </c>
    </row>
    <row r="67" customFormat="false" ht="12" hidden="false" customHeight="true" outlineLevel="0" collapsed="false">
      <c r="I67" s="37" t="e">
        <f aca="false">NA()</f>
        <v>#N/A</v>
      </c>
      <c r="J67" s="37" t="e">
        <f aca="false">NA()</f>
        <v>#N/A</v>
      </c>
    </row>
    <row r="68" customFormat="false" ht="12" hidden="false" customHeight="true" outlineLevel="0" collapsed="false">
      <c r="I68" s="37" t="e">
        <f aca="false">NA()</f>
        <v>#N/A</v>
      </c>
      <c r="J68" s="37" t="e">
        <f aca="false">NA()</f>
        <v>#N/A</v>
      </c>
    </row>
    <row r="69" customFormat="false" ht="12" hidden="false" customHeight="true" outlineLevel="0" collapsed="false">
      <c r="I69" s="37" t="e">
        <f aca="false">NA()</f>
        <v>#N/A</v>
      </c>
      <c r="J69" s="37" t="e">
        <f aca="false">NA()</f>
        <v>#N/A</v>
      </c>
    </row>
    <row r="70" customFormat="false" ht="12" hidden="false" customHeight="true" outlineLevel="0" collapsed="false">
      <c r="I70" s="37" t="e">
        <f aca="false">NA()</f>
        <v>#N/A</v>
      </c>
      <c r="J70" s="37" t="e">
        <f aca="false">NA()</f>
        <v>#N/A</v>
      </c>
    </row>
    <row r="71" customFormat="false" ht="12" hidden="false" customHeight="true" outlineLevel="0" collapsed="false">
      <c r="I71" s="37" t="e">
        <f aca="false">NA()</f>
        <v>#N/A</v>
      </c>
      <c r="J71" s="37" t="e">
        <f aca="false">NA()</f>
        <v>#N/A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7"/>
  <sheetViews>
    <sheetView showFormulas="false" showGridLines="true" showRowColHeaders="true" showZeros="true" rightToLeft="false" tabSelected="false" showOutlineSymbols="true" defaultGridColor="true" view="normal" topLeftCell="A31" colorId="64" zoomScale="110" zoomScaleNormal="110" zoomScalePageLayoutView="100" workbookViewId="0">
      <selection pane="topLeft" activeCell="J30" activeCellId="0" sqref="J30"/>
    </sheetView>
  </sheetViews>
  <sheetFormatPr defaultColWidth="10.5" defaultRowHeight="12" zeroHeight="false" outlineLevelRow="0" outlineLevelCol="0"/>
  <cols>
    <col collapsed="false" customWidth="true" hidden="false" outlineLevel="0" max="1" min="1" style="0" width="41.49"/>
    <col collapsed="false" customWidth="true" hidden="false" outlineLevel="0" max="2" min="2" style="0" width="21.5"/>
    <col collapsed="false" customWidth="true" hidden="false" outlineLevel="0" max="3" min="3" style="0" width="9.49"/>
    <col collapsed="false" customWidth="true" hidden="false" outlineLevel="0" max="6" min="6" style="0" width="11.5"/>
    <col collapsed="false" customWidth="true" hidden="false" outlineLevel="0" max="8" min="8" style="0" width="22.49"/>
    <col collapsed="false" customWidth="false" hidden="true" outlineLevel="0" max="10" min="9" style="0" width="10.5"/>
    <col collapsed="false" customWidth="true" hidden="false" outlineLevel="0" max="11" min="11" style="0" width="22.49"/>
  </cols>
  <sheetData>
    <row r="1" s="6" customFormat="true" ht="12.75" hidden="false" customHeight="true" outlineLevel="0" collapsed="false">
      <c r="A1" s="24" t="s">
        <v>0</v>
      </c>
      <c r="B1" s="25" t="s">
        <v>1</v>
      </c>
      <c r="C1" s="25" t="s">
        <v>2</v>
      </c>
      <c r="D1" s="26" t="s">
        <v>3</v>
      </c>
      <c r="E1" s="27" t="s">
        <v>4</v>
      </c>
      <c r="F1" s="26" t="s">
        <v>5</v>
      </c>
      <c r="G1" s="27" t="s">
        <v>6</v>
      </c>
      <c r="H1" s="28" t="s">
        <v>7</v>
      </c>
      <c r="I1" s="35" t="s">
        <v>281</v>
      </c>
      <c r="J1" s="36" t="s">
        <v>1</v>
      </c>
      <c r="K1" s="28" t="s">
        <v>513</v>
      </c>
    </row>
    <row r="2" customFormat="false" ht="12" hidden="false" customHeight="true" outlineLevel="0" collapsed="false">
      <c r="A2" s="49" t="s">
        <v>452</v>
      </c>
      <c r="B2" s="49" t="s">
        <v>453</v>
      </c>
      <c r="C2" s="49" t="s">
        <v>70</v>
      </c>
      <c r="D2" s="49" t="n">
        <v>40150</v>
      </c>
      <c r="E2" s="49"/>
      <c r="F2" s="50" t="n">
        <v>222</v>
      </c>
      <c r="G2" s="50" t="s">
        <v>10</v>
      </c>
      <c r="H2" s="51" t="s">
        <v>110</v>
      </c>
      <c r="I2" s="37" t="e">
        <f aca="false">NA()</f>
        <v>#N/A</v>
      </c>
      <c r="J2" s="37" t="str">
        <f aca="false">B2</f>
        <v>Juan Rulfo</v>
      </c>
      <c r="K2" s="51"/>
    </row>
    <row r="3" customFormat="false" ht="12" hidden="false" customHeight="true" outlineLevel="0" collapsed="false">
      <c r="A3" s="49" t="s">
        <v>454</v>
      </c>
      <c r="B3" s="49" t="s">
        <v>455</v>
      </c>
      <c r="C3" s="49" t="s">
        <v>33</v>
      </c>
      <c r="D3" s="49" t="n">
        <v>40261</v>
      </c>
      <c r="E3" s="49"/>
      <c r="F3" s="50" t="n">
        <v>910</v>
      </c>
      <c r="G3" s="50" t="s">
        <v>10</v>
      </c>
      <c r="H3" s="51" t="s">
        <v>110</v>
      </c>
      <c r="I3" s="37" t="e">
        <f aca="false">NA()</f>
        <v>#N/A</v>
      </c>
      <c r="J3" s="37" t="str">
        <f aca="false">B3</f>
        <v>James Joyce</v>
      </c>
      <c r="K3" s="51"/>
    </row>
    <row r="4" customFormat="false" ht="12" hidden="false" customHeight="true" outlineLevel="0" collapsed="false">
      <c r="A4" s="49" t="s">
        <v>456</v>
      </c>
      <c r="B4" s="49" t="s">
        <v>457</v>
      </c>
      <c r="C4" s="49" t="s">
        <v>189</v>
      </c>
      <c r="D4" s="49" t="n">
        <v>40282</v>
      </c>
      <c r="E4" s="49"/>
      <c r="F4" s="50" t="n">
        <v>480</v>
      </c>
      <c r="G4" s="50" t="s">
        <v>10</v>
      </c>
      <c r="H4" s="51" t="s">
        <v>110</v>
      </c>
      <c r="I4" s="37" t="e">
        <f aca="false">NA()</f>
        <v>#N/A</v>
      </c>
      <c r="J4" s="37" t="str">
        <f aca="false">B4</f>
        <v>Ambrose Bierce</v>
      </c>
      <c r="K4" s="51"/>
    </row>
    <row r="5" customFormat="false" ht="12" hidden="false" customHeight="true" outlineLevel="0" collapsed="false">
      <c r="A5" s="49" t="s">
        <v>458</v>
      </c>
      <c r="B5" s="49" t="s">
        <v>459</v>
      </c>
      <c r="C5" s="49" t="s">
        <v>189</v>
      </c>
      <c r="D5" s="49" t="n">
        <v>40296</v>
      </c>
      <c r="E5" s="49"/>
      <c r="F5" s="50" t="n">
        <v>209</v>
      </c>
      <c r="G5" s="50" t="s">
        <v>10</v>
      </c>
      <c r="H5" s="51" t="s">
        <v>110</v>
      </c>
      <c r="I5" s="37" t="e">
        <f aca="false">NA()</f>
        <v>#N/A</v>
      </c>
      <c r="J5" s="37" t="str">
        <f aca="false">B5</f>
        <v>Dalton Trumbo</v>
      </c>
      <c r="K5" s="51"/>
    </row>
    <row r="6" customFormat="false" ht="12" hidden="false" customHeight="true" outlineLevel="0" collapsed="false">
      <c r="A6" s="49" t="s">
        <v>460</v>
      </c>
      <c r="B6" s="49" t="s">
        <v>461</v>
      </c>
      <c r="C6" s="49" t="s">
        <v>189</v>
      </c>
      <c r="D6" s="49" t="n">
        <v>40366</v>
      </c>
      <c r="E6" s="49"/>
      <c r="F6" s="50" t="n">
        <v>160</v>
      </c>
      <c r="G6" s="50" t="s">
        <v>24</v>
      </c>
      <c r="H6" s="51" t="s">
        <v>110</v>
      </c>
      <c r="I6" s="37" t="e">
        <f aca="false">NA()</f>
        <v>#N/A</v>
      </c>
      <c r="J6" s="37" t="str">
        <f aca="false">B6</f>
        <v>Michel Dansel</v>
      </c>
      <c r="K6" s="51"/>
    </row>
    <row r="7" customFormat="false" ht="12" hidden="false" customHeight="true" outlineLevel="0" collapsed="false">
      <c r="A7" s="49" t="s">
        <v>462</v>
      </c>
      <c r="B7" s="49" t="s">
        <v>285</v>
      </c>
      <c r="C7" s="49" t="s">
        <v>33</v>
      </c>
      <c r="D7" s="49" t="n">
        <v>40373</v>
      </c>
      <c r="E7" s="49"/>
      <c r="F7" s="50" t="n">
        <v>502</v>
      </c>
      <c r="G7" s="50" t="s">
        <v>24</v>
      </c>
      <c r="H7" s="51" t="s">
        <v>110</v>
      </c>
      <c r="I7" s="37" t="e">
        <f aca="false">NA()</f>
        <v>#N/A</v>
      </c>
      <c r="J7" s="37" t="str">
        <f aca="false">B7</f>
        <v>Varios</v>
      </c>
      <c r="K7" s="51"/>
    </row>
    <row r="8" customFormat="false" ht="12" hidden="false" customHeight="true" outlineLevel="0" collapsed="false">
      <c r="A8" s="49" t="s">
        <v>463</v>
      </c>
      <c r="B8" s="49" t="s">
        <v>464</v>
      </c>
      <c r="C8" s="49" t="s">
        <v>189</v>
      </c>
      <c r="D8" s="49" t="n">
        <v>40385</v>
      </c>
      <c r="E8" s="49"/>
      <c r="F8" s="50" t="n">
        <v>384</v>
      </c>
      <c r="G8" s="50" t="s">
        <v>58</v>
      </c>
      <c r="H8" s="51" t="s">
        <v>110</v>
      </c>
      <c r="I8" s="37" t="e">
        <f aca="false">NA()</f>
        <v>#N/A</v>
      </c>
      <c r="J8" s="37" t="str">
        <f aca="false">B8</f>
        <v>Primitivo Martínez</v>
      </c>
      <c r="K8" s="51"/>
    </row>
    <row r="9" customFormat="false" ht="12" hidden="false" customHeight="true" outlineLevel="0" collapsed="false">
      <c r="A9" s="49" t="s">
        <v>465</v>
      </c>
      <c r="B9" s="49" t="s">
        <v>466</v>
      </c>
      <c r="C9" s="49" t="s">
        <v>189</v>
      </c>
      <c r="D9" s="49" t="n">
        <v>40438</v>
      </c>
      <c r="E9" s="49"/>
      <c r="F9" s="50" t="n">
        <v>300</v>
      </c>
      <c r="G9" s="50" t="s">
        <v>202</v>
      </c>
      <c r="H9" s="51" t="s">
        <v>110</v>
      </c>
      <c r="I9" s="37" t="e">
        <f aca="false">NA()</f>
        <v>#N/A</v>
      </c>
      <c r="J9" s="37" t="str">
        <f aca="false">B9</f>
        <v>Richard Leakey</v>
      </c>
      <c r="K9" s="51"/>
    </row>
    <row r="10" customFormat="false" ht="12" hidden="false" customHeight="true" outlineLevel="0" collapsed="false">
      <c r="A10" s="49" t="s">
        <v>467</v>
      </c>
      <c r="B10" s="49" t="s">
        <v>468</v>
      </c>
      <c r="C10" s="49" t="s">
        <v>33</v>
      </c>
      <c r="D10" s="49"/>
      <c r="E10" s="49"/>
      <c r="F10" s="50" t="n">
        <v>338</v>
      </c>
      <c r="G10" s="50" t="s">
        <v>10</v>
      </c>
      <c r="H10" s="51" t="s">
        <v>110</v>
      </c>
      <c r="I10" s="37" t="e">
        <f aca="false">NA()</f>
        <v>#N/A</v>
      </c>
      <c r="J10" s="37" t="str">
        <f aca="false">B10</f>
        <v>Paul Auster</v>
      </c>
      <c r="K10" s="51"/>
    </row>
    <row r="11" customFormat="false" ht="12" hidden="false" customHeight="true" outlineLevel="0" collapsed="false">
      <c r="A11" s="49" t="s">
        <v>469</v>
      </c>
      <c r="B11" s="49" t="s">
        <v>470</v>
      </c>
      <c r="C11" s="49" t="s">
        <v>189</v>
      </c>
      <c r="D11" s="49" t="n">
        <v>40655</v>
      </c>
      <c r="E11" s="49"/>
      <c r="F11" s="50" t="n">
        <v>300</v>
      </c>
      <c r="G11" s="50" t="s">
        <v>24</v>
      </c>
      <c r="H11" s="51" t="s">
        <v>110</v>
      </c>
      <c r="I11" s="37" t="e">
        <f aca="false">NA()</f>
        <v>#N/A</v>
      </c>
      <c r="J11" s="37" t="str">
        <f aca="false">B11</f>
        <v>Umberto Eco</v>
      </c>
      <c r="K11" s="51"/>
    </row>
    <row r="12" customFormat="false" ht="12" hidden="false" customHeight="true" outlineLevel="0" collapsed="false">
      <c r="A12" s="49" t="s">
        <v>471</v>
      </c>
      <c r="B12" s="49" t="s">
        <v>472</v>
      </c>
      <c r="C12" s="49" t="s">
        <v>33</v>
      </c>
      <c r="D12" s="49" t="n">
        <v>40736</v>
      </c>
      <c r="E12" s="49"/>
      <c r="F12" s="50" t="n">
        <v>144</v>
      </c>
      <c r="G12" s="50" t="s">
        <v>24</v>
      </c>
      <c r="H12" s="51" t="s">
        <v>110</v>
      </c>
      <c r="I12" s="37" t="e">
        <f aca="false">NA()</f>
        <v>#N/A</v>
      </c>
      <c r="J12" s="37" t="str">
        <f aca="false">B12</f>
        <v>Comité invisible</v>
      </c>
      <c r="K12" s="51"/>
    </row>
    <row r="13" customFormat="false" ht="12" hidden="false" customHeight="true" outlineLevel="0" collapsed="false">
      <c r="A13" s="49" t="s">
        <v>525</v>
      </c>
      <c r="B13" s="49" t="s">
        <v>526</v>
      </c>
      <c r="C13" s="49" t="s">
        <v>189</v>
      </c>
      <c r="D13" s="49" t="n">
        <v>41801</v>
      </c>
      <c r="E13" s="49"/>
      <c r="F13" s="52" t="n">
        <v>272</v>
      </c>
      <c r="G13" s="52" t="s">
        <v>10</v>
      </c>
      <c r="H13" s="51" t="s">
        <v>110</v>
      </c>
      <c r="I13" s="37" t="e">
        <f aca="false">NA()</f>
        <v>#N/A</v>
      </c>
      <c r="J13" s="37" t="str">
        <f aca="false">B13</f>
        <v>Carlos Sisi</v>
      </c>
      <c r="K13" s="51"/>
    </row>
    <row r="14" customFormat="false" ht="12" hidden="false" customHeight="true" outlineLevel="0" collapsed="false">
      <c r="A14" s="49" t="s">
        <v>536</v>
      </c>
      <c r="B14" s="49" t="s">
        <v>537</v>
      </c>
      <c r="C14" s="49" t="s">
        <v>189</v>
      </c>
      <c r="D14" s="49" t="n">
        <v>42015</v>
      </c>
      <c r="E14" s="49"/>
      <c r="F14" s="52" t="n">
        <v>232</v>
      </c>
      <c r="G14" s="52" t="s">
        <v>10</v>
      </c>
      <c r="H14" s="51" t="s">
        <v>110</v>
      </c>
      <c r="I14" s="37" t="e">
        <f aca="false">NA()</f>
        <v>#N/A</v>
      </c>
      <c r="J14" s="37" t="str">
        <f aca="false">B14</f>
        <v>William Gibson</v>
      </c>
      <c r="K14" s="51"/>
    </row>
    <row r="15" customFormat="false" ht="12" hidden="false" customHeight="true" outlineLevel="0" collapsed="false">
      <c r="A15" s="44" t="s">
        <v>586</v>
      </c>
      <c r="B15" s="44" t="s">
        <v>587</v>
      </c>
      <c r="C15" s="44" t="s">
        <v>189</v>
      </c>
      <c r="D15" s="44" t="n">
        <v>42357</v>
      </c>
      <c r="E15" s="44" t="n">
        <v>42381</v>
      </c>
      <c r="F15" s="40" t="n">
        <v>560</v>
      </c>
      <c r="G15" s="40" t="s">
        <v>58</v>
      </c>
      <c r="H15" s="42" t="n">
        <v>6</v>
      </c>
      <c r="I15" s="37" t="e">
        <f aca="false">NA()</f>
        <v>#N/A</v>
      </c>
      <c r="J15" s="37" t="str">
        <f aca="false">B15</f>
        <v>Emil Ludwig</v>
      </c>
      <c r="K15" s="42" t="n">
        <v>1935</v>
      </c>
    </row>
    <row r="16" customFormat="false" ht="12" hidden="false" customHeight="true" outlineLevel="0" collapsed="false">
      <c r="A16" s="44" t="s">
        <v>588</v>
      </c>
      <c r="B16" s="44" t="s">
        <v>589</v>
      </c>
      <c r="C16" s="44" t="s">
        <v>189</v>
      </c>
      <c r="D16" s="44" t="n">
        <v>42381</v>
      </c>
      <c r="E16" s="44" t="n">
        <v>42386</v>
      </c>
      <c r="F16" s="40" t="n">
        <v>277</v>
      </c>
      <c r="G16" s="40" t="s">
        <v>10</v>
      </c>
      <c r="H16" s="42" t="n">
        <v>7</v>
      </c>
      <c r="I16" s="37"/>
      <c r="J16" s="37" t="str">
        <f aca="false">B16</f>
        <v>Stephen King</v>
      </c>
      <c r="K16" s="42" t="n">
        <v>1977</v>
      </c>
    </row>
    <row r="17" customFormat="false" ht="12" hidden="false" customHeight="true" outlineLevel="0" collapsed="false">
      <c r="A17" s="44" t="s">
        <v>590</v>
      </c>
      <c r="B17" s="44" t="s">
        <v>591</v>
      </c>
      <c r="C17" s="44" t="s">
        <v>33</v>
      </c>
      <c r="D17" s="44" t="n">
        <v>42387</v>
      </c>
      <c r="E17" s="44" t="n">
        <v>42396</v>
      </c>
      <c r="F17" s="40" t="n">
        <v>416</v>
      </c>
      <c r="G17" s="40" t="s">
        <v>10</v>
      </c>
      <c r="H17" s="42" t="n">
        <v>8</v>
      </c>
      <c r="I17" s="37"/>
      <c r="J17" s="37" t="str">
        <f aca="false">B17</f>
        <v>Santi Balmes</v>
      </c>
      <c r="K17" s="42" t="n">
        <v>2015</v>
      </c>
    </row>
    <row r="18" customFormat="false" ht="12" hidden="false" customHeight="true" outlineLevel="0" collapsed="false">
      <c r="A18" s="44" t="s">
        <v>592</v>
      </c>
      <c r="B18" s="44" t="s">
        <v>92</v>
      </c>
      <c r="C18" s="44" t="s">
        <v>189</v>
      </c>
      <c r="D18" s="44" t="n">
        <v>42396</v>
      </c>
      <c r="E18" s="44" t="n">
        <v>42404</v>
      </c>
      <c r="F18" s="40" t="n">
        <v>396</v>
      </c>
      <c r="G18" s="40" t="s">
        <v>58</v>
      </c>
      <c r="H18" s="42" t="n">
        <v>7</v>
      </c>
      <c r="I18" s="37"/>
      <c r="J18" s="37" t="str">
        <f aca="false">B18</f>
        <v>Nieves Concostrina</v>
      </c>
      <c r="K18" s="42" t="n">
        <v>2009</v>
      </c>
    </row>
    <row r="19" customFormat="false" ht="12" hidden="false" customHeight="true" outlineLevel="0" collapsed="false">
      <c r="A19" s="44" t="s">
        <v>593</v>
      </c>
      <c r="B19" s="44" t="s">
        <v>594</v>
      </c>
      <c r="C19" s="44" t="s">
        <v>189</v>
      </c>
      <c r="D19" s="44" t="n">
        <v>42404</v>
      </c>
      <c r="E19" s="44" t="n">
        <v>42422</v>
      </c>
      <c r="F19" s="40" t="n">
        <v>336</v>
      </c>
      <c r="G19" s="40" t="s">
        <v>58</v>
      </c>
      <c r="H19" s="42" t="n">
        <v>7</v>
      </c>
      <c r="I19" s="37"/>
      <c r="J19" s="37" t="str">
        <f aca="false">B19</f>
        <v>Pierre Grimal</v>
      </c>
      <c r="K19" s="42" t="n">
        <v>1960</v>
      </c>
    </row>
    <row r="20" customFormat="false" ht="12" hidden="false" customHeight="true" outlineLevel="0" collapsed="false">
      <c r="A20" s="44" t="s">
        <v>595</v>
      </c>
      <c r="B20" s="44" t="s">
        <v>543</v>
      </c>
      <c r="C20" s="44" t="s">
        <v>189</v>
      </c>
      <c r="D20" s="44" t="n">
        <v>42422</v>
      </c>
      <c r="E20" s="44" t="n">
        <v>42441</v>
      </c>
      <c r="F20" s="40" t="n">
        <v>800</v>
      </c>
      <c r="G20" s="40" t="s">
        <v>58</v>
      </c>
      <c r="H20" s="42" t="n">
        <v>8</v>
      </c>
      <c r="I20" s="37"/>
      <c r="J20" s="37" t="str">
        <f aca="false">B20</f>
        <v>Hugh Thomas</v>
      </c>
      <c r="K20" s="42" t="n">
        <v>2003</v>
      </c>
    </row>
    <row r="21" customFormat="false" ht="12" hidden="false" customHeight="true" outlineLevel="0" collapsed="false">
      <c r="A21" s="44" t="s">
        <v>596</v>
      </c>
      <c r="B21" s="44" t="s">
        <v>597</v>
      </c>
      <c r="C21" s="44" t="s">
        <v>189</v>
      </c>
      <c r="D21" s="44" t="n">
        <v>42441</v>
      </c>
      <c r="E21" s="44" t="n">
        <v>42451</v>
      </c>
      <c r="F21" s="40" t="n">
        <v>400</v>
      </c>
      <c r="G21" s="40" t="s">
        <v>10</v>
      </c>
      <c r="H21" s="42" t="n">
        <v>7.5</v>
      </c>
      <c r="I21" s="37"/>
      <c r="J21" s="37" t="str">
        <f aca="false">B21</f>
        <v>Laurent Binet</v>
      </c>
      <c r="K21" s="42" t="n">
        <v>2011</v>
      </c>
    </row>
    <row r="22" customFormat="false" ht="12" hidden="false" customHeight="true" outlineLevel="0" collapsed="false">
      <c r="A22" s="44" t="s">
        <v>598</v>
      </c>
      <c r="B22" s="44" t="s">
        <v>599</v>
      </c>
      <c r="C22" s="44" t="s">
        <v>33</v>
      </c>
      <c r="D22" s="44" t="n">
        <v>42452</v>
      </c>
      <c r="E22" s="44" t="n">
        <v>42459</v>
      </c>
      <c r="F22" s="40" t="n">
        <v>358</v>
      </c>
      <c r="G22" s="40" t="s">
        <v>24</v>
      </c>
      <c r="H22" s="42" t="n">
        <v>6.5</v>
      </c>
      <c r="I22" s="37"/>
      <c r="J22" s="37" t="str">
        <f aca="false">B22</f>
        <v>Nacho Carretero</v>
      </c>
      <c r="K22" s="42" t="n">
        <v>2015</v>
      </c>
    </row>
    <row r="23" customFormat="false" ht="12" hidden="false" customHeight="true" outlineLevel="0" collapsed="false">
      <c r="A23" s="44" t="s">
        <v>600</v>
      </c>
      <c r="B23" s="44" t="s">
        <v>601</v>
      </c>
      <c r="C23" s="44" t="s">
        <v>189</v>
      </c>
      <c r="D23" s="44" t="n">
        <v>42457</v>
      </c>
      <c r="E23" s="44" t="n">
        <v>42467</v>
      </c>
      <c r="F23" s="40" t="n">
        <v>240</v>
      </c>
      <c r="G23" s="40" t="s">
        <v>58</v>
      </c>
      <c r="H23" s="42" t="n">
        <v>8.5</v>
      </c>
      <c r="I23" s="37"/>
      <c r="J23" s="37" t="str">
        <f aca="false">B23</f>
        <v>Averil Cameron</v>
      </c>
      <c r="K23" s="42" t="n">
        <v>2002</v>
      </c>
    </row>
    <row r="24" customFormat="false" ht="12" hidden="false" customHeight="true" outlineLevel="0" collapsed="false">
      <c r="A24" s="44" t="s">
        <v>602</v>
      </c>
      <c r="B24" s="44" t="s">
        <v>603</v>
      </c>
      <c r="C24" s="44" t="s">
        <v>33</v>
      </c>
      <c r="D24" s="44" t="n">
        <v>42467</v>
      </c>
      <c r="E24" s="44" t="n">
        <v>42473</v>
      </c>
      <c r="F24" s="40" t="n">
        <v>360</v>
      </c>
      <c r="G24" s="40" t="s">
        <v>560</v>
      </c>
      <c r="H24" s="42" t="n">
        <v>9</v>
      </c>
      <c r="I24" s="37"/>
      <c r="J24" s="37" t="str">
        <f aca="false">B24</f>
        <v>Manuel Bartual</v>
      </c>
      <c r="K24" s="42" t="n">
        <v>2015</v>
      </c>
    </row>
    <row r="25" customFormat="false" ht="12" hidden="false" customHeight="true" outlineLevel="0" collapsed="false">
      <c r="A25" s="44" t="s">
        <v>604</v>
      </c>
      <c r="B25" s="44" t="s">
        <v>605</v>
      </c>
      <c r="C25" s="44" t="s">
        <v>189</v>
      </c>
      <c r="D25" s="44" t="n">
        <v>42474</v>
      </c>
      <c r="E25" s="44" t="n">
        <v>42481</v>
      </c>
      <c r="F25" s="40" t="n">
        <v>292</v>
      </c>
      <c r="G25" s="40" t="s">
        <v>10</v>
      </c>
      <c r="H25" s="42" t="n">
        <v>6.5</v>
      </c>
      <c r="I25" s="37"/>
      <c r="J25" s="37" t="str">
        <f aca="false">B25</f>
        <v>Philip K.Dick</v>
      </c>
      <c r="K25" s="42" t="n">
        <v>1957</v>
      </c>
    </row>
    <row r="26" customFormat="false" ht="12" hidden="false" customHeight="true" outlineLevel="0" collapsed="false">
      <c r="A26" s="44" t="s">
        <v>606</v>
      </c>
      <c r="B26" s="44" t="s">
        <v>607</v>
      </c>
      <c r="C26" s="44" t="s">
        <v>33</v>
      </c>
      <c r="D26" s="44" t="n">
        <v>42481</v>
      </c>
      <c r="E26" s="44" t="n">
        <v>42488</v>
      </c>
      <c r="F26" s="40" t="n">
        <v>192</v>
      </c>
      <c r="G26" s="40" t="s">
        <v>560</v>
      </c>
      <c r="H26" s="42" t="n">
        <v>8.75</v>
      </c>
      <c r="I26" s="37"/>
      <c r="J26" s="37" t="str">
        <f aca="false">B26</f>
        <v>Juan Jesús García</v>
      </c>
      <c r="K26" s="42" t="n">
        <v>2016</v>
      </c>
    </row>
    <row r="27" customFormat="false" ht="12" hidden="false" customHeight="true" outlineLevel="0" collapsed="false">
      <c r="A27" s="44" t="s">
        <v>608</v>
      </c>
      <c r="B27" s="44" t="s">
        <v>158</v>
      </c>
      <c r="C27" s="44" t="s">
        <v>189</v>
      </c>
      <c r="D27" s="44" t="n">
        <v>42488</v>
      </c>
      <c r="E27" s="44" t="n">
        <v>42496</v>
      </c>
      <c r="F27" s="40" t="n">
        <v>176</v>
      </c>
      <c r="G27" s="40" t="s">
        <v>10</v>
      </c>
      <c r="H27" s="42" t="n">
        <v>7</v>
      </c>
      <c r="I27" s="37"/>
      <c r="J27" s="37" t="str">
        <f aca="false">B27</f>
        <v>Roberto Bolaño</v>
      </c>
      <c r="K27" s="42" t="n">
        <v>1999</v>
      </c>
    </row>
    <row r="28" customFormat="false" ht="12" hidden="false" customHeight="true" outlineLevel="0" collapsed="false">
      <c r="A28" s="44" t="s">
        <v>609</v>
      </c>
      <c r="B28" s="44" t="s">
        <v>610</v>
      </c>
      <c r="C28" s="44" t="s">
        <v>189</v>
      </c>
      <c r="D28" s="44" t="n">
        <v>42496</v>
      </c>
      <c r="E28" s="44" t="n">
        <v>42500</v>
      </c>
      <c r="F28" s="40" t="n">
        <v>192</v>
      </c>
      <c r="G28" s="40" t="s">
        <v>10</v>
      </c>
      <c r="H28" s="42" t="n">
        <v>6.7</v>
      </c>
      <c r="I28" s="37"/>
      <c r="J28" s="37" t="str">
        <f aca="false">B28</f>
        <v>Richard Matheson</v>
      </c>
      <c r="K28" s="42" t="n">
        <v>1957</v>
      </c>
    </row>
    <row r="29" customFormat="false" ht="12" hidden="false" customHeight="true" outlineLevel="0" collapsed="false">
      <c r="A29" s="44" t="s">
        <v>611</v>
      </c>
      <c r="B29" s="44" t="s">
        <v>158</v>
      </c>
      <c r="C29" s="44" t="s">
        <v>189</v>
      </c>
      <c r="D29" s="44" t="n">
        <v>42500</v>
      </c>
      <c r="E29" s="44" t="n">
        <v>42501</v>
      </c>
      <c r="F29" s="40" t="n">
        <v>128</v>
      </c>
      <c r="G29" s="40" t="s">
        <v>10</v>
      </c>
      <c r="H29" s="42" t="n">
        <v>4.5</v>
      </c>
      <c r="I29" s="37"/>
      <c r="J29" s="37" t="str">
        <f aca="false">B29</f>
        <v>Roberto Bolaño</v>
      </c>
      <c r="K29" s="42" t="n">
        <v>2002</v>
      </c>
    </row>
    <row r="30" customFormat="false" ht="12" hidden="false" customHeight="true" outlineLevel="0" collapsed="false">
      <c r="A30" s="44" t="s">
        <v>612</v>
      </c>
      <c r="B30" s="44" t="s">
        <v>261</v>
      </c>
      <c r="C30" s="44" t="s">
        <v>189</v>
      </c>
      <c r="D30" s="44" t="n">
        <v>42501</v>
      </c>
      <c r="E30" s="44" t="n">
        <v>42514</v>
      </c>
      <c r="F30" s="40" t="n">
        <v>344</v>
      </c>
      <c r="G30" s="40" t="s">
        <v>10</v>
      </c>
      <c r="H30" s="42" t="n">
        <v>7</v>
      </c>
      <c r="I30" s="37"/>
      <c r="J30" s="37" t="str">
        <f aca="false">B30</f>
        <v>Isaac Asimov</v>
      </c>
      <c r="K30" s="42" t="n">
        <v>1976</v>
      </c>
    </row>
    <row r="31" customFormat="false" ht="12" hidden="false" customHeight="true" outlineLevel="0" collapsed="false">
      <c r="A31" s="44" t="s">
        <v>613</v>
      </c>
      <c r="B31" s="44" t="s">
        <v>434</v>
      </c>
      <c r="C31" s="44" t="s">
        <v>189</v>
      </c>
      <c r="D31" s="44" t="n">
        <v>42515</v>
      </c>
      <c r="E31" s="44" t="n">
        <v>42518</v>
      </c>
      <c r="F31" s="40" t="n">
        <v>304</v>
      </c>
      <c r="G31" s="40" t="s">
        <v>10</v>
      </c>
      <c r="H31" s="42" t="n">
        <v>8</v>
      </c>
      <c r="I31" s="37"/>
      <c r="J31" s="37" t="str">
        <f aca="false">B31</f>
        <v>Neil Gaiman</v>
      </c>
      <c r="K31" s="42" t="n">
        <v>2008</v>
      </c>
    </row>
    <row r="32" customFormat="false" ht="12" hidden="false" customHeight="true" outlineLevel="0" collapsed="false">
      <c r="A32" s="44" t="s">
        <v>614</v>
      </c>
      <c r="B32" s="44" t="s">
        <v>615</v>
      </c>
      <c r="C32" s="44" t="s">
        <v>189</v>
      </c>
      <c r="D32" s="44" t="n">
        <v>42520</v>
      </c>
      <c r="E32" s="44" t="n">
        <v>42523</v>
      </c>
      <c r="F32" s="40" t="n">
        <v>208</v>
      </c>
      <c r="G32" s="40" t="s">
        <v>10</v>
      </c>
      <c r="H32" s="42" t="n">
        <v>7</v>
      </c>
      <c r="I32" s="37"/>
      <c r="J32" s="37" t="str">
        <f aca="false">B32</f>
        <v>Clifford D. Simack</v>
      </c>
      <c r="K32" s="42" t="n">
        <v>1963</v>
      </c>
    </row>
    <row r="33" customFormat="false" ht="12" hidden="false" customHeight="true" outlineLevel="0" collapsed="false">
      <c r="A33" s="44" t="s">
        <v>616</v>
      </c>
      <c r="B33" s="44" t="s">
        <v>424</v>
      </c>
      <c r="C33" s="44" t="s">
        <v>189</v>
      </c>
      <c r="D33" s="44" t="n">
        <v>42157</v>
      </c>
      <c r="E33" s="44" t="n">
        <v>42534</v>
      </c>
      <c r="F33" s="40" t="n">
        <v>736</v>
      </c>
      <c r="G33" s="40" t="s">
        <v>10</v>
      </c>
      <c r="H33" s="42" t="n">
        <v>9</v>
      </c>
      <c r="I33" s="37"/>
      <c r="J33" s="37" t="str">
        <f aca="false">B33</f>
        <v>Dan Simmons</v>
      </c>
      <c r="K33" s="42" t="n">
        <v>1996</v>
      </c>
    </row>
    <row r="34" customFormat="false" ht="12" hidden="false" customHeight="true" outlineLevel="0" collapsed="false">
      <c r="A34" s="44" t="s">
        <v>617</v>
      </c>
      <c r="B34" s="44" t="s">
        <v>424</v>
      </c>
      <c r="C34" s="44" t="s">
        <v>189</v>
      </c>
      <c r="D34" s="44" t="n">
        <v>42535</v>
      </c>
      <c r="E34" s="44" t="n">
        <v>42548</v>
      </c>
      <c r="F34" s="40" t="n">
        <v>944</v>
      </c>
      <c r="G34" s="40" t="s">
        <v>10</v>
      </c>
      <c r="H34" s="42" t="n">
        <v>8</v>
      </c>
      <c r="I34" s="37"/>
      <c r="J34" s="37" t="str">
        <f aca="false">B34</f>
        <v>Dan Simmons</v>
      </c>
      <c r="K34" s="42" t="n">
        <v>1997</v>
      </c>
    </row>
    <row r="35" customFormat="false" ht="12" hidden="false" customHeight="true" outlineLevel="0" collapsed="false">
      <c r="A35" s="44" t="s">
        <v>618</v>
      </c>
      <c r="B35" s="44" t="s">
        <v>424</v>
      </c>
      <c r="C35" s="44" t="s">
        <v>189</v>
      </c>
      <c r="D35" s="44" t="n">
        <v>42548</v>
      </c>
      <c r="E35" s="44" t="n">
        <v>42548</v>
      </c>
      <c r="F35" s="40" t="n">
        <v>144</v>
      </c>
      <c r="G35" s="40" t="s">
        <v>10</v>
      </c>
      <c r="H35" s="42" t="n">
        <v>6</v>
      </c>
      <c r="I35" s="37"/>
      <c r="J35" s="37" t="str">
        <f aca="false">B35</f>
        <v>Dan Simmons</v>
      </c>
      <c r="K35" s="42" t="n">
        <v>1999</v>
      </c>
    </row>
    <row r="36" customFormat="false" ht="12" hidden="false" customHeight="true" outlineLevel="0" collapsed="false">
      <c r="A36" s="44" t="s">
        <v>619</v>
      </c>
      <c r="B36" s="44" t="s">
        <v>620</v>
      </c>
      <c r="C36" s="44" t="s">
        <v>189</v>
      </c>
      <c r="D36" s="44" t="n">
        <v>42548</v>
      </c>
      <c r="E36" s="44" t="n">
        <v>42567</v>
      </c>
      <c r="F36" s="40" t="n">
        <v>391</v>
      </c>
      <c r="G36" s="40" t="s">
        <v>10</v>
      </c>
      <c r="H36" s="42" t="n">
        <v>5</v>
      </c>
      <c r="I36" s="37"/>
      <c r="J36" s="37" t="str">
        <f aca="false">B36</f>
        <v>Alistair Reynolds</v>
      </c>
      <c r="K36" s="42" t="n">
        <v>2000</v>
      </c>
    </row>
    <row r="37" customFormat="false" ht="12" hidden="false" customHeight="true" outlineLevel="0" collapsed="false">
      <c r="A37" s="44" t="s">
        <v>621</v>
      </c>
      <c r="B37" s="44" t="s">
        <v>92</v>
      </c>
      <c r="C37" s="44" t="s">
        <v>189</v>
      </c>
      <c r="D37" s="44" t="n">
        <v>42567</v>
      </c>
      <c r="E37" s="44" t="n">
        <v>42570</v>
      </c>
      <c r="F37" s="40" t="n">
        <v>412</v>
      </c>
      <c r="G37" s="40" t="s">
        <v>58</v>
      </c>
      <c r="H37" s="42" t="n">
        <v>7</v>
      </c>
      <c r="I37" s="37"/>
      <c r="J37" s="37" t="str">
        <f aca="false">B37</f>
        <v>Nieves Concostrina</v>
      </c>
      <c r="K37" s="42" t="n">
        <v>2011</v>
      </c>
    </row>
    <row r="38" customFormat="false" ht="12" hidden="false" customHeight="true" outlineLevel="0" collapsed="false">
      <c r="A38" s="44" t="s">
        <v>622</v>
      </c>
      <c r="B38" s="44" t="s">
        <v>623</v>
      </c>
      <c r="C38" s="44" t="s">
        <v>189</v>
      </c>
      <c r="D38" s="44" t="n">
        <v>42570</v>
      </c>
      <c r="E38" s="44" t="n">
        <v>42595</v>
      </c>
      <c r="F38" s="40" t="n">
        <v>1216</v>
      </c>
      <c r="G38" s="40" t="s">
        <v>58</v>
      </c>
      <c r="H38" s="42" t="n">
        <v>8</v>
      </c>
      <c r="I38" s="37"/>
      <c r="J38" s="37" t="str">
        <f aca="false">B38</f>
        <v>Tony Judt</v>
      </c>
      <c r="K38" s="42" t="n">
        <v>2005</v>
      </c>
    </row>
    <row r="39" customFormat="false" ht="12" hidden="false" customHeight="true" outlineLevel="0" collapsed="false">
      <c r="A39" s="44" t="s">
        <v>624</v>
      </c>
      <c r="B39" s="44" t="s">
        <v>625</v>
      </c>
      <c r="C39" s="44" t="s">
        <v>189</v>
      </c>
      <c r="D39" s="44" t="n">
        <v>42595</v>
      </c>
      <c r="E39" s="44" t="n">
        <v>42601</v>
      </c>
      <c r="F39" s="40" t="n">
        <v>256</v>
      </c>
      <c r="G39" s="40" t="s">
        <v>58</v>
      </c>
      <c r="H39" s="42" t="n">
        <v>5</v>
      </c>
      <c r="I39" s="37"/>
      <c r="J39" s="37" t="str">
        <f aca="false">B39</f>
        <v>Juan Antonio Cebrian</v>
      </c>
      <c r="K39" s="42" t="n">
        <v>2003</v>
      </c>
    </row>
    <row r="40" customFormat="false" ht="12" hidden="false" customHeight="true" outlineLevel="0" collapsed="false">
      <c r="A40" s="44" t="s">
        <v>626</v>
      </c>
      <c r="B40" s="44" t="s">
        <v>550</v>
      </c>
      <c r="C40" s="44" t="s">
        <v>189</v>
      </c>
      <c r="D40" s="44" t="n">
        <v>42601</v>
      </c>
      <c r="E40" s="44" t="n">
        <v>42602</v>
      </c>
      <c r="F40" s="40" t="n">
        <v>224</v>
      </c>
      <c r="G40" s="40" t="s">
        <v>10</v>
      </c>
      <c r="H40" s="42" t="n">
        <v>6</v>
      </c>
      <c r="I40" s="37"/>
      <c r="J40" s="37"/>
      <c r="K40" s="42" t="n">
        <v>2004</v>
      </c>
    </row>
    <row r="41" customFormat="false" ht="12" hidden="false" customHeight="true" outlineLevel="0" collapsed="false">
      <c r="A41" s="44" t="s">
        <v>627</v>
      </c>
      <c r="B41" s="44" t="s">
        <v>628</v>
      </c>
      <c r="C41" s="44" t="s">
        <v>189</v>
      </c>
      <c r="D41" s="44" t="n">
        <v>42602</v>
      </c>
      <c r="E41" s="44" t="n">
        <v>42616</v>
      </c>
      <c r="F41" s="40" t="n">
        <v>384</v>
      </c>
      <c r="G41" s="40" t="s">
        <v>10</v>
      </c>
      <c r="H41" s="42" t="n">
        <v>7</v>
      </c>
      <c r="I41" s="37"/>
      <c r="J41" s="37"/>
      <c r="K41" s="42" t="n">
        <v>1997</v>
      </c>
    </row>
    <row r="42" customFormat="false" ht="12" hidden="false" customHeight="true" outlineLevel="0" collapsed="false">
      <c r="A42" s="44" t="s">
        <v>629</v>
      </c>
      <c r="B42" s="44" t="s">
        <v>208</v>
      </c>
      <c r="C42" s="44" t="s">
        <v>189</v>
      </c>
      <c r="D42" s="44" t="n">
        <v>42616</v>
      </c>
      <c r="E42" s="44" t="n">
        <v>42626</v>
      </c>
      <c r="F42" s="40" t="n">
        <v>816</v>
      </c>
      <c r="G42" s="40" t="s">
        <v>10</v>
      </c>
      <c r="H42" s="42" t="n">
        <v>9</v>
      </c>
      <c r="I42" s="37"/>
      <c r="J42" s="37"/>
      <c r="K42" s="42" t="n">
        <v>2016</v>
      </c>
    </row>
    <row r="43" customFormat="false" ht="12" hidden="false" customHeight="true" outlineLevel="0" collapsed="false">
      <c r="A43" s="44" t="s">
        <v>630</v>
      </c>
      <c r="B43" s="44" t="s">
        <v>631</v>
      </c>
      <c r="C43" s="44" t="s">
        <v>189</v>
      </c>
      <c r="D43" s="44" t="n">
        <v>42626</v>
      </c>
      <c r="E43" s="44" t="n">
        <v>42632</v>
      </c>
      <c r="F43" s="40" t="n">
        <v>416</v>
      </c>
      <c r="G43" s="40" t="s">
        <v>10</v>
      </c>
      <c r="H43" s="42" t="n">
        <v>7</v>
      </c>
      <c r="I43" s="37"/>
      <c r="J43" s="37"/>
      <c r="K43" s="42" t="n">
        <v>2006</v>
      </c>
    </row>
    <row r="44" customFormat="false" ht="12" hidden="false" customHeight="true" outlineLevel="0" collapsed="false">
      <c r="A44" s="44" t="s">
        <v>632</v>
      </c>
      <c r="B44" s="44" t="s">
        <v>633</v>
      </c>
      <c r="C44" s="44" t="s">
        <v>189</v>
      </c>
      <c r="D44" s="44" t="n">
        <v>42632</v>
      </c>
      <c r="E44" s="44" t="n">
        <v>42653</v>
      </c>
      <c r="F44" s="40" t="n">
        <v>640</v>
      </c>
      <c r="G44" s="40" t="s">
        <v>10</v>
      </c>
      <c r="H44" s="42" t="n">
        <v>8.5</v>
      </c>
      <c r="I44" s="37"/>
      <c r="J44" s="37"/>
      <c r="K44" s="42" t="n">
        <v>1990</v>
      </c>
    </row>
    <row r="45" customFormat="false" ht="12" hidden="false" customHeight="true" outlineLevel="0" collapsed="false">
      <c r="A45" s="44" t="s">
        <v>634</v>
      </c>
      <c r="B45" s="44" t="s">
        <v>635</v>
      </c>
      <c r="C45" s="44" t="s">
        <v>189</v>
      </c>
      <c r="D45" s="44" t="n">
        <v>42653</v>
      </c>
      <c r="E45" s="44" t="n">
        <v>42669</v>
      </c>
      <c r="F45" s="40" t="n">
        <v>664</v>
      </c>
      <c r="G45" s="40" t="s">
        <v>58</v>
      </c>
      <c r="H45" s="42" t="n">
        <v>8.9</v>
      </c>
      <c r="I45" s="37"/>
      <c r="J45" s="37"/>
      <c r="K45" s="42" t="n">
        <v>2016</v>
      </c>
    </row>
    <row r="46" customFormat="false" ht="12" hidden="false" customHeight="true" outlineLevel="0" collapsed="false">
      <c r="A46" s="44" t="s">
        <v>636</v>
      </c>
      <c r="B46" s="44" t="s">
        <v>637</v>
      </c>
      <c r="C46" s="44" t="s">
        <v>189</v>
      </c>
      <c r="D46" s="44" t="n">
        <v>42669</v>
      </c>
      <c r="E46" s="44" t="n">
        <v>42682</v>
      </c>
      <c r="F46" s="40" t="n">
        <v>400</v>
      </c>
      <c r="G46" s="40" t="s">
        <v>10</v>
      </c>
      <c r="H46" s="42" t="n">
        <v>7</v>
      </c>
      <c r="I46" s="37"/>
      <c r="J46" s="37"/>
      <c r="K46" s="42" t="n">
        <v>2003</v>
      </c>
    </row>
    <row r="47" customFormat="false" ht="12" hidden="false" customHeight="true" outlineLevel="0" collapsed="false">
      <c r="A47" s="44" t="s">
        <v>638</v>
      </c>
      <c r="B47" s="44" t="s">
        <v>370</v>
      </c>
      <c r="C47" s="44" t="s">
        <v>189</v>
      </c>
      <c r="D47" s="44" t="n">
        <v>42682</v>
      </c>
      <c r="E47" s="44" t="n">
        <v>42693</v>
      </c>
      <c r="F47" s="40" t="n">
        <v>624</v>
      </c>
      <c r="G47" s="40" t="s">
        <v>371</v>
      </c>
      <c r="H47" s="42" t="n">
        <v>8</v>
      </c>
      <c r="I47" s="37"/>
      <c r="J47" s="37"/>
      <c r="K47" s="42" t="n">
        <v>2015</v>
      </c>
    </row>
    <row r="48" customFormat="false" ht="12" hidden="false" customHeight="true" outlineLevel="0" collapsed="false">
      <c r="A48" s="44" t="s">
        <v>639</v>
      </c>
      <c r="B48" s="44" t="s">
        <v>633</v>
      </c>
      <c r="C48" s="44" t="s">
        <v>189</v>
      </c>
      <c r="D48" s="44" t="n">
        <v>42694</v>
      </c>
      <c r="E48" s="44" t="n">
        <v>42718</v>
      </c>
      <c r="F48" s="40" t="n">
        <v>558</v>
      </c>
      <c r="G48" s="40" t="s">
        <v>10</v>
      </c>
      <c r="H48" s="42" t="n">
        <v>8</v>
      </c>
      <c r="I48" s="37"/>
      <c r="J48" s="37"/>
      <c r="K48" s="42" t="n">
        <v>1991</v>
      </c>
    </row>
    <row r="49" customFormat="false" ht="12" hidden="false" customHeight="true" outlineLevel="0" collapsed="false">
      <c r="A49" s="44" t="s">
        <v>640</v>
      </c>
      <c r="B49" s="44" t="s">
        <v>641</v>
      </c>
      <c r="C49" s="44" t="s">
        <v>189</v>
      </c>
      <c r="D49" s="44" t="n">
        <v>42718</v>
      </c>
      <c r="E49" s="44" t="n">
        <v>42721</v>
      </c>
      <c r="F49" s="40" t="n">
        <v>224</v>
      </c>
      <c r="G49" s="40" t="s">
        <v>106</v>
      </c>
      <c r="H49" s="42" t="n">
        <v>7.9</v>
      </c>
      <c r="I49" s="37"/>
      <c r="J49" s="37"/>
      <c r="K49" s="42" t="n">
        <v>2009</v>
      </c>
    </row>
    <row r="50" customFormat="false" ht="12" hidden="false" customHeight="true" outlineLevel="0" collapsed="false">
      <c r="F50" s="32" t="n">
        <f aca="false">SUMIFS(F2:F45,E2:E45,"&gt;0")</f>
        <v>13222</v>
      </c>
      <c r="G50" s="33"/>
      <c r="H50" s="34" t="n">
        <f aca="false">GEOMEAN(H2:H45)</f>
        <v>7.13057694358006</v>
      </c>
      <c r="I50" s="37" t="e">
        <f aca="false">NA()</f>
        <v>#N/A</v>
      </c>
      <c r="J50" s="37" t="e">
        <f aca="false">NA()</f>
        <v>#N/A</v>
      </c>
      <c r="K50" s="34"/>
    </row>
    <row r="51" customFormat="false" ht="12" hidden="false" customHeight="true" outlineLevel="0" collapsed="false">
      <c r="A51" s="24" t="s">
        <v>275</v>
      </c>
      <c r="I51" s="37" t="e">
        <f aca="false">NA()</f>
        <v>#N/A</v>
      </c>
      <c r="J51" s="37" t="e">
        <f aca="false">NA()</f>
        <v>#N/A</v>
      </c>
    </row>
    <row r="52" customFormat="false" ht="24" hidden="false" customHeight="true" outlineLevel="0" collapsed="false">
      <c r="A52" s="6" t="s">
        <v>277</v>
      </c>
      <c r="B52" s="6" t="s">
        <v>278</v>
      </c>
      <c r="C52" s="6" t="s">
        <v>279</v>
      </c>
      <c r="D52" s="6" t="s">
        <v>280</v>
      </c>
      <c r="I52" s="37" t="e">
        <f aca="false">NA()</f>
        <v>#N/A</v>
      </c>
      <c r="J52" s="37" t="e">
        <f aca="false">NA()</f>
        <v>#N/A</v>
      </c>
    </row>
    <row r="53" customFormat="false" ht="12" hidden="false" customHeight="true" outlineLevel="0" collapsed="false">
      <c r="A53" s="6" t="n">
        <f aca="false">COUNTIF(E2:E49,"&gt;0")</f>
        <v>35</v>
      </c>
      <c r="B53" s="6" t="n">
        <f aca="false">ROUND(F50/A53,0)</f>
        <v>378</v>
      </c>
      <c r="C53" s="6" t="e">
        <f aca="false">INDEX(J2:J77,MATCH(MAX(I2:I77),I2:I77,0),1)</f>
        <v>#N/A</v>
      </c>
      <c r="D53" s="6"/>
      <c r="I53" s="37" t="e">
        <f aca="false">NA()</f>
        <v>#N/A</v>
      </c>
      <c r="J53" s="37" t="e">
        <f aca="false">NA()</f>
        <v>#N/A</v>
      </c>
    </row>
    <row r="54" customFormat="false" ht="12" hidden="false" customHeight="true" outlineLevel="0" collapsed="false">
      <c r="I54" s="37" t="e">
        <f aca="false">NA()</f>
        <v>#N/A</v>
      </c>
      <c r="J54" s="37" t="e">
        <f aca="false">NA()</f>
        <v>#N/A</v>
      </c>
    </row>
    <row r="55" customFormat="false" ht="12" hidden="false" customHeight="true" outlineLevel="0" collapsed="false">
      <c r="I55" s="37" t="e">
        <f aca="false">NA()</f>
        <v>#N/A</v>
      </c>
      <c r="J55" s="37" t="e">
        <f aca="false">NA()</f>
        <v>#N/A</v>
      </c>
    </row>
    <row r="56" customFormat="false" ht="12" hidden="false" customHeight="true" outlineLevel="0" collapsed="false">
      <c r="I56" s="37" t="e">
        <f aca="false">NA()</f>
        <v>#N/A</v>
      </c>
      <c r="J56" s="37" t="e">
        <f aca="false">NA()</f>
        <v>#N/A</v>
      </c>
    </row>
    <row r="57" customFormat="false" ht="12" hidden="false" customHeight="true" outlineLevel="0" collapsed="false">
      <c r="A57" s="6" t="s">
        <v>323</v>
      </c>
      <c r="B57" s="6" t="s">
        <v>324</v>
      </c>
      <c r="C57" s="16" t="s">
        <v>189</v>
      </c>
      <c r="D57" s="22" t="n">
        <v>40702</v>
      </c>
      <c r="E57" s="22" t="n">
        <v>40721</v>
      </c>
      <c r="F57" s="16" t="n">
        <v>672</v>
      </c>
      <c r="G57" s="16" t="s">
        <v>58</v>
      </c>
      <c r="H57" s="13" t="n">
        <v>6.5</v>
      </c>
      <c r="I57" s="37" t="e">
        <f aca="false">NA()</f>
        <v>#N/A</v>
      </c>
      <c r="J57" s="37" t="str">
        <f aca="false">B57</f>
        <v>Rick Atkinson</v>
      </c>
    </row>
    <row r="58" customFormat="false" ht="12" hidden="false" customHeight="true" outlineLevel="0" collapsed="false">
      <c r="I58" s="37" t="e">
        <f aca="false">NA()</f>
        <v>#N/A</v>
      </c>
      <c r="J58" s="37" t="e">
        <f aca="false">NA()</f>
        <v>#N/A</v>
      </c>
    </row>
    <row r="59" customFormat="false" ht="12" hidden="false" customHeight="true" outlineLevel="0" collapsed="false">
      <c r="I59" s="37" t="e">
        <f aca="false">NA()</f>
        <v>#N/A</v>
      </c>
      <c r="J59" s="37" t="e">
        <f aca="false">NA()</f>
        <v>#N/A</v>
      </c>
    </row>
    <row r="60" customFormat="false" ht="12" hidden="false" customHeight="true" outlineLevel="0" collapsed="false">
      <c r="I60" s="37" t="e">
        <f aca="false">NA()</f>
        <v>#N/A</v>
      </c>
      <c r="J60" s="37" t="e">
        <f aca="false">NA()</f>
        <v>#N/A</v>
      </c>
    </row>
    <row r="61" customFormat="false" ht="12" hidden="false" customHeight="true" outlineLevel="0" collapsed="false">
      <c r="I61" s="37" t="e">
        <f aca="false">NA()</f>
        <v>#N/A</v>
      </c>
      <c r="J61" s="37" t="e">
        <f aca="false">NA()</f>
        <v>#N/A</v>
      </c>
    </row>
    <row r="62" customFormat="false" ht="12" hidden="false" customHeight="true" outlineLevel="0" collapsed="false">
      <c r="I62" s="37" t="e">
        <f aca="false">NA()</f>
        <v>#N/A</v>
      </c>
      <c r="J62" s="37" t="e">
        <f aca="false">NA()</f>
        <v>#N/A</v>
      </c>
    </row>
    <row r="63" customFormat="false" ht="12" hidden="false" customHeight="true" outlineLevel="0" collapsed="false">
      <c r="I63" s="37" t="e">
        <f aca="false">NA()</f>
        <v>#N/A</v>
      </c>
      <c r="J63" s="37" t="e">
        <f aca="false">NA()</f>
        <v>#N/A</v>
      </c>
    </row>
    <row r="64" customFormat="false" ht="12" hidden="false" customHeight="true" outlineLevel="0" collapsed="false">
      <c r="I64" s="37" t="e">
        <f aca="false">NA()</f>
        <v>#N/A</v>
      </c>
      <c r="J64" s="37" t="e">
        <f aca="false">NA()</f>
        <v>#N/A</v>
      </c>
    </row>
    <row r="65" customFormat="false" ht="12" hidden="false" customHeight="true" outlineLevel="0" collapsed="false">
      <c r="I65" s="37" t="e">
        <f aca="false">NA()</f>
        <v>#N/A</v>
      </c>
      <c r="J65" s="37" t="e">
        <f aca="false">NA()</f>
        <v>#N/A</v>
      </c>
    </row>
    <row r="66" customFormat="false" ht="12" hidden="false" customHeight="true" outlineLevel="0" collapsed="false">
      <c r="I66" s="37" t="e">
        <f aca="false">NA()</f>
        <v>#N/A</v>
      </c>
      <c r="J66" s="37" t="e">
        <f aca="false">NA()</f>
        <v>#N/A</v>
      </c>
    </row>
    <row r="67" customFormat="false" ht="12" hidden="false" customHeight="true" outlineLevel="0" collapsed="false">
      <c r="I67" s="37" t="e">
        <f aca="false">NA()</f>
        <v>#N/A</v>
      </c>
      <c r="J67" s="37" t="e">
        <f aca="false">NA()</f>
        <v>#N/A</v>
      </c>
    </row>
    <row r="68" customFormat="false" ht="12" hidden="false" customHeight="true" outlineLevel="0" collapsed="false">
      <c r="I68" s="37" t="e">
        <f aca="false">NA()</f>
        <v>#N/A</v>
      </c>
      <c r="J68" s="37" t="e">
        <f aca="false">NA()</f>
        <v>#N/A</v>
      </c>
    </row>
    <row r="69" customFormat="false" ht="12" hidden="false" customHeight="true" outlineLevel="0" collapsed="false">
      <c r="I69" s="37" t="e">
        <f aca="false">NA()</f>
        <v>#N/A</v>
      </c>
      <c r="J69" s="37" t="e">
        <f aca="false">NA()</f>
        <v>#N/A</v>
      </c>
    </row>
    <row r="70" customFormat="false" ht="12" hidden="false" customHeight="true" outlineLevel="0" collapsed="false">
      <c r="I70" s="37" t="e">
        <f aca="false">NA()</f>
        <v>#N/A</v>
      </c>
      <c r="J70" s="37" t="e">
        <f aca="false">NA()</f>
        <v>#N/A</v>
      </c>
    </row>
    <row r="71" customFormat="false" ht="12" hidden="false" customHeight="true" outlineLevel="0" collapsed="false">
      <c r="I71" s="37" t="e">
        <f aca="false">NA()</f>
        <v>#N/A</v>
      </c>
      <c r="J71" s="37" t="e">
        <f aca="false">NA()</f>
        <v>#N/A</v>
      </c>
    </row>
    <row r="72" customFormat="false" ht="12" hidden="false" customHeight="true" outlineLevel="0" collapsed="false">
      <c r="I72" s="37" t="e">
        <f aca="false">NA()</f>
        <v>#N/A</v>
      </c>
      <c r="J72" s="37" t="e">
        <f aca="false">NA()</f>
        <v>#N/A</v>
      </c>
    </row>
    <row r="73" customFormat="false" ht="12" hidden="false" customHeight="true" outlineLevel="0" collapsed="false">
      <c r="I73" s="37" t="e">
        <f aca="false">NA()</f>
        <v>#N/A</v>
      </c>
      <c r="J73" s="37" t="e">
        <f aca="false">NA()</f>
        <v>#N/A</v>
      </c>
    </row>
    <row r="74" customFormat="false" ht="12" hidden="false" customHeight="true" outlineLevel="0" collapsed="false">
      <c r="I74" s="37" t="e">
        <f aca="false">NA()</f>
        <v>#N/A</v>
      </c>
      <c r="J74" s="37" t="e">
        <f aca="false">NA()</f>
        <v>#N/A</v>
      </c>
    </row>
    <row r="75" customFormat="false" ht="12" hidden="false" customHeight="true" outlineLevel="0" collapsed="false">
      <c r="I75" s="37" t="e">
        <f aca="false">NA()</f>
        <v>#N/A</v>
      </c>
      <c r="J75" s="37" t="e">
        <f aca="false">NA()</f>
        <v>#N/A</v>
      </c>
    </row>
    <row r="76" customFormat="false" ht="12" hidden="false" customHeight="true" outlineLevel="0" collapsed="false">
      <c r="I76" s="37" t="e">
        <f aca="false">NA()</f>
        <v>#N/A</v>
      </c>
      <c r="J76" s="37" t="e">
        <f aca="false">NA()</f>
        <v>#N/A</v>
      </c>
    </row>
    <row r="77" customFormat="false" ht="12" hidden="false" customHeight="true" outlineLevel="0" collapsed="false">
      <c r="I77" s="37" t="e">
        <f aca="false">NA()</f>
        <v>#N/A</v>
      </c>
      <c r="J77" s="37" t="e">
        <f aca="false">NA()</f>
        <v>#N/A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9"/>
  <sheetViews>
    <sheetView showFormulas="false" showGridLines="true" showRowColHeaders="true" showZeros="true" rightToLeft="false" tabSelected="false" showOutlineSymbols="true" defaultGridColor="true" view="normal" topLeftCell="A25" colorId="64" zoomScale="110" zoomScaleNormal="110" zoomScalePageLayoutView="100" workbookViewId="0">
      <selection pane="topLeft" activeCell="E26" activeCellId="0" sqref="E26"/>
    </sheetView>
  </sheetViews>
  <sheetFormatPr defaultColWidth="10.5" defaultRowHeight="12" zeroHeight="false" outlineLevelRow="0" outlineLevelCol="0"/>
  <cols>
    <col collapsed="false" customWidth="true" hidden="false" outlineLevel="0" max="1" min="1" style="0" width="41.49"/>
    <col collapsed="false" customWidth="true" hidden="false" outlineLevel="0" max="2" min="2" style="0" width="21.5"/>
    <col collapsed="false" customWidth="true" hidden="false" outlineLevel="0" max="3" min="3" style="0" width="9.49"/>
    <col collapsed="false" customWidth="true" hidden="false" outlineLevel="0" max="6" min="6" style="0" width="11.5"/>
    <col collapsed="false" customWidth="true" hidden="false" outlineLevel="0" max="8" min="8" style="0" width="22.49"/>
    <col collapsed="false" customWidth="false" hidden="true" outlineLevel="0" max="10" min="9" style="0" width="10.5"/>
    <col collapsed="false" customWidth="true" hidden="false" outlineLevel="0" max="11" min="11" style="0" width="22.49"/>
  </cols>
  <sheetData>
    <row r="1" s="6" customFormat="true" ht="12.75" hidden="false" customHeight="true" outlineLevel="0" collapsed="false">
      <c r="A1" s="24" t="s">
        <v>0</v>
      </c>
      <c r="B1" s="25" t="s">
        <v>1</v>
      </c>
      <c r="C1" s="25" t="s">
        <v>2</v>
      </c>
      <c r="D1" s="26" t="s">
        <v>3</v>
      </c>
      <c r="E1" s="27" t="s">
        <v>4</v>
      </c>
      <c r="F1" s="26" t="s">
        <v>5</v>
      </c>
      <c r="G1" s="27" t="s">
        <v>6</v>
      </c>
      <c r="H1" s="28" t="s">
        <v>7</v>
      </c>
      <c r="I1" s="35" t="s">
        <v>281</v>
      </c>
      <c r="J1" s="36" t="s">
        <v>1</v>
      </c>
      <c r="K1" s="28" t="s">
        <v>513</v>
      </c>
    </row>
    <row r="2" customFormat="false" ht="12" hidden="false" customHeight="true" outlineLevel="0" collapsed="false">
      <c r="A2" s="49" t="s">
        <v>452</v>
      </c>
      <c r="B2" s="49" t="s">
        <v>453</v>
      </c>
      <c r="C2" s="49" t="s">
        <v>70</v>
      </c>
      <c r="D2" s="49" t="n">
        <v>40150</v>
      </c>
      <c r="E2" s="49"/>
      <c r="F2" s="50" t="n">
        <v>222</v>
      </c>
      <c r="G2" s="50" t="s">
        <v>10</v>
      </c>
      <c r="H2" s="51" t="s">
        <v>110</v>
      </c>
      <c r="I2" s="37" t="e">
        <f aca="false">NA()</f>
        <v>#N/A</v>
      </c>
      <c r="J2" s="37" t="str">
        <f aca="false">B2</f>
        <v>Juan Rulfo</v>
      </c>
      <c r="K2" s="51"/>
    </row>
    <row r="3" customFormat="false" ht="12" hidden="false" customHeight="true" outlineLevel="0" collapsed="false">
      <c r="A3" s="49" t="s">
        <v>454</v>
      </c>
      <c r="B3" s="49" t="s">
        <v>455</v>
      </c>
      <c r="C3" s="49" t="s">
        <v>33</v>
      </c>
      <c r="D3" s="49" t="n">
        <v>40261</v>
      </c>
      <c r="E3" s="49"/>
      <c r="F3" s="50" t="n">
        <v>910</v>
      </c>
      <c r="G3" s="50" t="s">
        <v>10</v>
      </c>
      <c r="H3" s="51" t="s">
        <v>110</v>
      </c>
      <c r="I3" s="37" t="e">
        <f aca="false">NA()</f>
        <v>#N/A</v>
      </c>
      <c r="J3" s="37" t="str">
        <f aca="false">B3</f>
        <v>James Joyce</v>
      </c>
      <c r="K3" s="51"/>
    </row>
    <row r="4" customFormat="false" ht="12" hidden="false" customHeight="true" outlineLevel="0" collapsed="false">
      <c r="A4" s="49" t="s">
        <v>456</v>
      </c>
      <c r="B4" s="49" t="s">
        <v>457</v>
      </c>
      <c r="C4" s="49" t="s">
        <v>189</v>
      </c>
      <c r="D4" s="49" t="n">
        <v>40282</v>
      </c>
      <c r="E4" s="49"/>
      <c r="F4" s="50" t="n">
        <v>480</v>
      </c>
      <c r="G4" s="50" t="s">
        <v>10</v>
      </c>
      <c r="H4" s="51" t="s">
        <v>110</v>
      </c>
      <c r="I4" s="37" t="e">
        <f aca="false">NA()</f>
        <v>#N/A</v>
      </c>
      <c r="J4" s="37" t="str">
        <f aca="false">B4</f>
        <v>Ambrose Bierce</v>
      </c>
      <c r="K4" s="51"/>
    </row>
    <row r="5" customFormat="false" ht="12" hidden="false" customHeight="true" outlineLevel="0" collapsed="false">
      <c r="A5" s="49" t="s">
        <v>458</v>
      </c>
      <c r="B5" s="49" t="s">
        <v>459</v>
      </c>
      <c r="C5" s="49" t="s">
        <v>189</v>
      </c>
      <c r="D5" s="49" t="n">
        <v>40296</v>
      </c>
      <c r="E5" s="49"/>
      <c r="F5" s="50" t="n">
        <v>209</v>
      </c>
      <c r="G5" s="50" t="s">
        <v>10</v>
      </c>
      <c r="H5" s="51" t="s">
        <v>110</v>
      </c>
      <c r="I5" s="37" t="e">
        <f aca="false">NA()</f>
        <v>#N/A</v>
      </c>
      <c r="J5" s="37" t="str">
        <f aca="false">B5</f>
        <v>Dalton Trumbo</v>
      </c>
      <c r="K5" s="51"/>
    </row>
    <row r="6" customFormat="false" ht="12" hidden="false" customHeight="true" outlineLevel="0" collapsed="false">
      <c r="A6" s="49" t="s">
        <v>460</v>
      </c>
      <c r="B6" s="49" t="s">
        <v>461</v>
      </c>
      <c r="C6" s="49" t="s">
        <v>189</v>
      </c>
      <c r="D6" s="49" t="n">
        <v>40366</v>
      </c>
      <c r="E6" s="49"/>
      <c r="F6" s="50" t="n">
        <v>160</v>
      </c>
      <c r="G6" s="50" t="s">
        <v>24</v>
      </c>
      <c r="H6" s="51" t="s">
        <v>110</v>
      </c>
      <c r="I6" s="37" t="e">
        <f aca="false">NA()</f>
        <v>#N/A</v>
      </c>
      <c r="J6" s="37" t="str">
        <f aca="false">B6</f>
        <v>Michel Dansel</v>
      </c>
      <c r="K6" s="51"/>
    </row>
    <row r="7" customFormat="false" ht="12" hidden="false" customHeight="true" outlineLevel="0" collapsed="false">
      <c r="A7" s="49" t="s">
        <v>462</v>
      </c>
      <c r="B7" s="49" t="s">
        <v>285</v>
      </c>
      <c r="C7" s="49" t="s">
        <v>33</v>
      </c>
      <c r="D7" s="49" t="n">
        <v>40373</v>
      </c>
      <c r="E7" s="49"/>
      <c r="F7" s="50" t="n">
        <v>502</v>
      </c>
      <c r="G7" s="50" t="s">
        <v>24</v>
      </c>
      <c r="H7" s="51" t="s">
        <v>110</v>
      </c>
      <c r="I7" s="37" t="e">
        <f aca="false">NA()</f>
        <v>#N/A</v>
      </c>
      <c r="J7" s="37" t="str">
        <f aca="false">B7</f>
        <v>Varios</v>
      </c>
      <c r="K7" s="51"/>
    </row>
    <row r="8" customFormat="false" ht="12" hidden="false" customHeight="true" outlineLevel="0" collapsed="false">
      <c r="A8" s="49" t="s">
        <v>463</v>
      </c>
      <c r="B8" s="49" t="s">
        <v>464</v>
      </c>
      <c r="C8" s="49" t="s">
        <v>189</v>
      </c>
      <c r="D8" s="49" t="n">
        <v>40385</v>
      </c>
      <c r="E8" s="49"/>
      <c r="F8" s="50" t="n">
        <v>384</v>
      </c>
      <c r="G8" s="50" t="s">
        <v>58</v>
      </c>
      <c r="H8" s="51" t="s">
        <v>110</v>
      </c>
      <c r="I8" s="37" t="e">
        <f aca="false">NA()</f>
        <v>#N/A</v>
      </c>
      <c r="J8" s="37" t="str">
        <f aca="false">B8</f>
        <v>Primitivo Martínez</v>
      </c>
      <c r="K8" s="51"/>
    </row>
    <row r="9" customFormat="false" ht="12" hidden="false" customHeight="true" outlineLevel="0" collapsed="false">
      <c r="A9" s="49" t="s">
        <v>465</v>
      </c>
      <c r="B9" s="49" t="s">
        <v>466</v>
      </c>
      <c r="C9" s="49" t="s">
        <v>189</v>
      </c>
      <c r="D9" s="49" t="n">
        <v>40438</v>
      </c>
      <c r="E9" s="49"/>
      <c r="F9" s="50" t="n">
        <v>300</v>
      </c>
      <c r="G9" s="50" t="s">
        <v>202</v>
      </c>
      <c r="H9" s="51" t="s">
        <v>110</v>
      </c>
      <c r="I9" s="37" t="e">
        <f aca="false">NA()</f>
        <v>#N/A</v>
      </c>
      <c r="J9" s="37" t="str">
        <f aca="false">B9</f>
        <v>Richard Leakey</v>
      </c>
      <c r="K9" s="51"/>
    </row>
    <row r="10" customFormat="false" ht="12" hidden="false" customHeight="true" outlineLevel="0" collapsed="false">
      <c r="A10" s="49" t="s">
        <v>467</v>
      </c>
      <c r="B10" s="49" t="s">
        <v>468</v>
      </c>
      <c r="C10" s="49" t="s">
        <v>33</v>
      </c>
      <c r="D10" s="49"/>
      <c r="E10" s="49"/>
      <c r="F10" s="50" t="n">
        <v>338</v>
      </c>
      <c r="G10" s="50" t="s">
        <v>10</v>
      </c>
      <c r="H10" s="51" t="s">
        <v>110</v>
      </c>
      <c r="I10" s="37" t="e">
        <f aca="false">NA()</f>
        <v>#N/A</v>
      </c>
      <c r="J10" s="37" t="str">
        <f aca="false">B10</f>
        <v>Paul Auster</v>
      </c>
      <c r="K10" s="51"/>
    </row>
    <row r="11" customFormat="false" ht="12" hidden="false" customHeight="true" outlineLevel="0" collapsed="false">
      <c r="A11" s="49" t="s">
        <v>469</v>
      </c>
      <c r="B11" s="49" t="s">
        <v>470</v>
      </c>
      <c r="C11" s="49" t="s">
        <v>189</v>
      </c>
      <c r="D11" s="49" t="n">
        <v>40655</v>
      </c>
      <c r="E11" s="49"/>
      <c r="F11" s="50" t="n">
        <v>300</v>
      </c>
      <c r="G11" s="50" t="s">
        <v>24</v>
      </c>
      <c r="H11" s="51" t="s">
        <v>110</v>
      </c>
      <c r="I11" s="37" t="e">
        <f aca="false">NA()</f>
        <v>#N/A</v>
      </c>
      <c r="J11" s="37" t="str">
        <f aca="false">B11</f>
        <v>Umberto Eco</v>
      </c>
      <c r="K11" s="51"/>
    </row>
    <row r="12" customFormat="false" ht="12" hidden="false" customHeight="true" outlineLevel="0" collapsed="false">
      <c r="A12" s="49" t="s">
        <v>471</v>
      </c>
      <c r="B12" s="49" t="s">
        <v>472</v>
      </c>
      <c r="C12" s="49" t="s">
        <v>33</v>
      </c>
      <c r="D12" s="49" t="n">
        <v>40736</v>
      </c>
      <c r="E12" s="49"/>
      <c r="F12" s="50" t="n">
        <v>144</v>
      </c>
      <c r="G12" s="50" t="s">
        <v>24</v>
      </c>
      <c r="H12" s="51" t="s">
        <v>110</v>
      </c>
      <c r="I12" s="37" t="e">
        <f aca="false">NA()</f>
        <v>#N/A</v>
      </c>
      <c r="J12" s="37" t="str">
        <f aca="false">B12</f>
        <v>Comité invisible</v>
      </c>
      <c r="K12" s="51"/>
    </row>
    <row r="13" customFormat="false" ht="12" hidden="false" customHeight="true" outlineLevel="0" collapsed="false">
      <c r="A13" s="49" t="s">
        <v>525</v>
      </c>
      <c r="B13" s="49" t="s">
        <v>526</v>
      </c>
      <c r="C13" s="49" t="s">
        <v>189</v>
      </c>
      <c r="D13" s="49" t="n">
        <v>41801</v>
      </c>
      <c r="E13" s="49"/>
      <c r="F13" s="52" t="n">
        <v>272</v>
      </c>
      <c r="G13" s="52" t="s">
        <v>10</v>
      </c>
      <c r="H13" s="51" t="s">
        <v>110</v>
      </c>
      <c r="I13" s="37" t="e">
        <f aca="false">NA()</f>
        <v>#N/A</v>
      </c>
      <c r="J13" s="37" t="str">
        <f aca="false">B13</f>
        <v>Carlos Sisi</v>
      </c>
      <c r="K13" s="51"/>
    </row>
    <row r="14" customFormat="false" ht="12" hidden="false" customHeight="true" outlineLevel="0" collapsed="false">
      <c r="A14" s="49" t="s">
        <v>536</v>
      </c>
      <c r="B14" s="49" t="s">
        <v>537</v>
      </c>
      <c r="C14" s="49" t="s">
        <v>189</v>
      </c>
      <c r="D14" s="49" t="n">
        <v>42015</v>
      </c>
      <c r="E14" s="49"/>
      <c r="F14" s="52" t="n">
        <v>232</v>
      </c>
      <c r="G14" s="52" t="s">
        <v>10</v>
      </c>
      <c r="H14" s="51" t="s">
        <v>110</v>
      </c>
      <c r="I14" s="37" t="e">
        <f aca="false">NA()</f>
        <v>#N/A</v>
      </c>
      <c r="J14" s="37" t="str">
        <f aca="false">B14</f>
        <v>William Gibson</v>
      </c>
      <c r="K14" s="51"/>
    </row>
    <row r="15" customFormat="false" ht="12" hidden="false" customHeight="true" outlineLevel="0" collapsed="false">
      <c r="A15" s="44" t="s">
        <v>642</v>
      </c>
      <c r="B15" s="44" t="s">
        <v>643</v>
      </c>
      <c r="C15" s="44" t="s">
        <v>189</v>
      </c>
      <c r="D15" s="44" t="n">
        <v>42722</v>
      </c>
      <c r="E15" s="44" t="n">
        <v>42746</v>
      </c>
      <c r="F15" s="40" t="n">
        <v>864</v>
      </c>
      <c r="G15" s="40" t="s">
        <v>58</v>
      </c>
      <c r="H15" s="42" t="n">
        <v>8</v>
      </c>
      <c r="I15" s="37"/>
      <c r="J15" s="37"/>
      <c r="K15" s="42" t="n">
        <v>2016</v>
      </c>
    </row>
    <row r="16" customFormat="false" ht="12" hidden="false" customHeight="true" outlineLevel="0" collapsed="false">
      <c r="A16" s="44" t="s">
        <v>644</v>
      </c>
      <c r="B16" s="44" t="s">
        <v>158</v>
      </c>
      <c r="C16" s="44" t="s">
        <v>189</v>
      </c>
      <c r="D16" s="44" t="n">
        <v>42746</v>
      </c>
      <c r="E16" s="44" t="n">
        <v>42748</v>
      </c>
      <c r="F16" s="40" t="n">
        <v>152</v>
      </c>
      <c r="G16" s="40" t="s">
        <v>10</v>
      </c>
      <c r="H16" s="42" t="n">
        <v>8</v>
      </c>
      <c r="I16" s="37" t="e">
        <f aca="false">NA()</f>
        <v>#N/A</v>
      </c>
      <c r="J16" s="37" t="str">
        <f aca="false">B16</f>
        <v>Roberto Bolaño</v>
      </c>
      <c r="K16" s="42" t="n">
        <v>2000</v>
      </c>
    </row>
    <row r="17" customFormat="false" ht="12" hidden="false" customHeight="true" outlineLevel="0" collapsed="false">
      <c r="A17" s="44" t="s">
        <v>645</v>
      </c>
      <c r="B17" s="44" t="s">
        <v>646</v>
      </c>
      <c r="C17" s="44" t="s">
        <v>189</v>
      </c>
      <c r="D17" s="44" t="n">
        <v>42748</v>
      </c>
      <c r="E17" s="44" t="n">
        <v>42768</v>
      </c>
      <c r="F17" s="40" t="n">
        <v>544</v>
      </c>
      <c r="G17" s="40" t="s">
        <v>10</v>
      </c>
      <c r="H17" s="42" t="n">
        <v>6</v>
      </c>
      <c r="I17" s="37" t="e">
        <f aca="false">NA()</f>
        <v>#N/A</v>
      </c>
      <c r="J17" s="37" t="str">
        <f aca="false">B17</f>
        <v>Dmitri Glujovski</v>
      </c>
      <c r="K17" s="42" t="n">
        <v>2007</v>
      </c>
    </row>
    <row r="18" customFormat="false" ht="12" hidden="false" customHeight="true" outlineLevel="0" collapsed="false">
      <c r="A18" s="44" t="s">
        <v>647</v>
      </c>
      <c r="B18" s="44" t="s">
        <v>589</v>
      </c>
      <c r="C18" s="44" t="s">
        <v>189</v>
      </c>
      <c r="D18" s="44" t="n">
        <v>42768</v>
      </c>
      <c r="E18" s="44" t="n">
        <v>42783</v>
      </c>
      <c r="F18" s="40" t="n">
        <v>592</v>
      </c>
      <c r="G18" s="40" t="s">
        <v>10</v>
      </c>
      <c r="H18" s="42" t="n">
        <v>6</v>
      </c>
      <c r="I18" s="37" t="e">
        <f aca="false">NA()</f>
        <v>#N/A</v>
      </c>
      <c r="J18" s="37" t="str">
        <f aca="false">B18</f>
        <v>Stephen King</v>
      </c>
      <c r="K18" s="42" t="n">
        <v>1980</v>
      </c>
    </row>
    <row r="19" customFormat="false" ht="12" hidden="false" customHeight="true" outlineLevel="0" collapsed="false">
      <c r="A19" s="44" t="s">
        <v>648</v>
      </c>
      <c r="B19" s="44" t="s">
        <v>649</v>
      </c>
      <c r="C19" s="44" t="s">
        <v>189</v>
      </c>
      <c r="D19" s="44" t="n">
        <v>42784</v>
      </c>
      <c r="E19" s="44" t="n">
        <v>42795</v>
      </c>
      <c r="F19" s="40" t="n">
        <v>224</v>
      </c>
      <c r="G19" s="40" t="s">
        <v>10</v>
      </c>
      <c r="H19" s="42" t="n">
        <v>7</v>
      </c>
      <c r="I19" s="37" t="e">
        <f aca="false">NA()</f>
        <v>#N/A</v>
      </c>
      <c r="J19" s="37" t="str">
        <f aca="false">B19</f>
        <v>Pierre Lemaitre</v>
      </c>
      <c r="K19" s="42" t="n">
        <v>2016</v>
      </c>
    </row>
    <row r="20" customFormat="false" ht="12" hidden="false" customHeight="true" outlineLevel="0" collapsed="false">
      <c r="A20" s="44" t="s">
        <v>650</v>
      </c>
      <c r="B20" s="44" t="s">
        <v>651</v>
      </c>
      <c r="C20" s="44" t="s">
        <v>189</v>
      </c>
      <c r="D20" s="44" t="n">
        <v>42796</v>
      </c>
      <c r="E20" s="44" t="n">
        <v>42807</v>
      </c>
      <c r="F20" s="40" t="n">
        <v>496</v>
      </c>
      <c r="G20" s="40" t="s">
        <v>24</v>
      </c>
      <c r="H20" s="42" t="n">
        <v>8</v>
      </c>
      <c r="I20" s="37" t="e">
        <f aca="false">NA()</f>
        <v>#N/A</v>
      </c>
      <c r="J20" s="37" t="str">
        <f aca="false">B20</f>
        <v>Yuval Noah Harari</v>
      </c>
      <c r="K20" s="42" t="n">
        <v>2014</v>
      </c>
    </row>
    <row r="21" customFormat="false" ht="12" hidden="false" customHeight="true" outlineLevel="0" collapsed="false">
      <c r="A21" s="44" t="s">
        <v>652</v>
      </c>
      <c r="B21" s="44" t="s">
        <v>653</v>
      </c>
      <c r="C21" s="44" t="s">
        <v>189</v>
      </c>
      <c r="D21" s="44" t="n">
        <v>42807</v>
      </c>
      <c r="E21" s="44" t="n">
        <v>42842</v>
      </c>
      <c r="F21" s="40" t="n">
        <v>856</v>
      </c>
      <c r="G21" s="40" t="s">
        <v>58</v>
      </c>
      <c r="H21" s="42" t="n">
        <v>7</v>
      </c>
      <c r="I21" s="37" t="e">
        <f aca="false">NA()</f>
        <v>#N/A</v>
      </c>
      <c r="J21" s="37" t="str">
        <f aca="false">B21</f>
        <v>Max Hastings</v>
      </c>
      <c r="K21" s="42" t="n">
        <v>2005</v>
      </c>
    </row>
    <row r="22" customFormat="false" ht="12" hidden="false" customHeight="true" outlineLevel="0" collapsed="false">
      <c r="A22" s="44" t="s">
        <v>654</v>
      </c>
      <c r="B22" s="44" t="s">
        <v>633</v>
      </c>
      <c r="C22" s="44" t="s">
        <v>189</v>
      </c>
      <c r="D22" s="44" t="n">
        <v>42842</v>
      </c>
      <c r="E22" s="44" t="n">
        <v>42864</v>
      </c>
      <c r="F22" s="40" t="n">
        <v>512</v>
      </c>
      <c r="G22" s="40" t="s">
        <v>10</v>
      </c>
      <c r="H22" s="42" t="n">
        <v>7.5</v>
      </c>
      <c r="I22" s="37" t="e">
        <f aca="false">NA()</f>
        <v>#N/A</v>
      </c>
      <c r="J22" s="42" t="str">
        <f aca="false">B22</f>
        <v>Robert Jordan</v>
      </c>
      <c r="K22" s="42" t="n">
        <v>1991</v>
      </c>
    </row>
    <row r="23" customFormat="false" ht="12" hidden="false" customHeight="true" outlineLevel="0" collapsed="false">
      <c r="A23" s="44" t="s">
        <v>655</v>
      </c>
      <c r="B23" s="44" t="s">
        <v>633</v>
      </c>
      <c r="C23" s="44" t="s">
        <v>189</v>
      </c>
      <c r="D23" s="44" t="n">
        <v>42864</v>
      </c>
      <c r="E23" s="44" t="n">
        <v>42886</v>
      </c>
      <c r="F23" s="40" t="n">
        <v>1013</v>
      </c>
      <c r="G23" s="40" t="s">
        <v>10</v>
      </c>
      <c r="H23" s="42" t="n">
        <v>7.6</v>
      </c>
      <c r="I23" s="37" t="e">
        <f aca="false">NA()</f>
        <v>#N/A</v>
      </c>
      <c r="J23" s="42" t="str">
        <f aca="false">B23</f>
        <v>Robert Jordan</v>
      </c>
      <c r="K23" s="42" t="n">
        <v>1992</v>
      </c>
    </row>
    <row r="24" customFormat="false" ht="12" hidden="false" customHeight="true" outlineLevel="0" collapsed="false">
      <c r="A24" s="44" t="s">
        <v>656</v>
      </c>
      <c r="B24" s="44" t="s">
        <v>657</v>
      </c>
      <c r="C24" s="44" t="s">
        <v>189</v>
      </c>
      <c r="D24" s="44" t="n">
        <v>42886</v>
      </c>
      <c r="E24" s="44" t="n">
        <v>42891</v>
      </c>
      <c r="F24" s="40" t="n">
        <v>416</v>
      </c>
      <c r="G24" s="40" t="s">
        <v>371</v>
      </c>
      <c r="H24" s="42" t="n">
        <v>9</v>
      </c>
      <c r="I24" s="37" t="e">
        <f aca="false">NA()</f>
        <v>#N/A</v>
      </c>
      <c r="J24" s="42" t="str">
        <f aca="false">B24</f>
        <v>Leonard Mlodinow</v>
      </c>
      <c r="K24" s="42" t="n">
        <v>2016</v>
      </c>
    </row>
    <row r="25" customFormat="false" ht="12" hidden="false" customHeight="true" outlineLevel="0" collapsed="false">
      <c r="A25" s="44" t="s">
        <v>658</v>
      </c>
      <c r="B25" s="44" t="s">
        <v>659</v>
      </c>
      <c r="C25" s="44" t="s">
        <v>189</v>
      </c>
      <c r="D25" s="44" t="n">
        <v>42891</v>
      </c>
      <c r="E25" s="44" t="n">
        <v>42899</v>
      </c>
      <c r="F25" s="40" t="n">
        <v>330</v>
      </c>
      <c r="G25" s="40" t="s">
        <v>10</v>
      </c>
      <c r="H25" s="42" t="n">
        <v>6</v>
      </c>
      <c r="I25" s="37" t="e">
        <f aca="false">NA()</f>
        <v>#N/A</v>
      </c>
      <c r="J25" s="42" t="str">
        <f aca="false">B25</f>
        <v>Robert L. Forward</v>
      </c>
      <c r="K25" s="42" t="n">
        <v>1980</v>
      </c>
    </row>
    <row r="26" customFormat="false" ht="12" hidden="false" customHeight="true" outlineLevel="0" collapsed="false">
      <c r="A26" s="49" t="s">
        <v>660</v>
      </c>
      <c r="B26" s="49" t="s">
        <v>661</v>
      </c>
      <c r="C26" s="49" t="s">
        <v>189</v>
      </c>
      <c r="D26" s="49" t="n">
        <v>42897</v>
      </c>
      <c r="E26" s="49"/>
      <c r="F26" s="52" t="n">
        <v>573</v>
      </c>
      <c r="G26" s="52" t="s">
        <v>10</v>
      </c>
      <c r="H26" s="49"/>
      <c r="I26" s="37" t="e">
        <f aca="false">NA()</f>
        <v>#N/A</v>
      </c>
      <c r="J26" s="37" t="str">
        <f aca="false">B26</f>
        <v>Miguel de Cervantes Saavedra</v>
      </c>
      <c r="K26" s="51" t="n">
        <v>1605</v>
      </c>
    </row>
    <row r="27" customFormat="false" ht="12" hidden="false" customHeight="true" outlineLevel="0" collapsed="false">
      <c r="A27" s="44" t="s">
        <v>662</v>
      </c>
      <c r="B27" s="44" t="s">
        <v>663</v>
      </c>
      <c r="C27" s="44" t="s">
        <v>189</v>
      </c>
      <c r="D27" s="44" t="n">
        <v>42899</v>
      </c>
      <c r="E27" s="44" t="n">
        <v>42909</v>
      </c>
      <c r="F27" s="40" t="n">
        <v>608</v>
      </c>
      <c r="G27" s="40" t="s">
        <v>10</v>
      </c>
      <c r="H27" s="42" t="n">
        <v>8</v>
      </c>
      <c r="I27" s="37" t="e">
        <f aca="false">NA()</f>
        <v>#N/A</v>
      </c>
      <c r="J27" s="42" t="str">
        <f aca="false">B27</f>
        <v>David Mitchell</v>
      </c>
      <c r="K27" s="42" t="n">
        <v>2004</v>
      </c>
    </row>
    <row r="28" customFormat="false" ht="12" hidden="false" customHeight="true" outlineLevel="0" collapsed="false">
      <c r="A28" s="44" t="s">
        <v>664</v>
      </c>
      <c r="B28" s="44" t="s">
        <v>199</v>
      </c>
      <c r="C28" s="44" t="s">
        <v>189</v>
      </c>
      <c r="D28" s="44" t="n">
        <v>42910</v>
      </c>
      <c r="E28" s="44" t="n">
        <v>42919</v>
      </c>
      <c r="F28" s="40" t="n">
        <v>544</v>
      </c>
      <c r="G28" s="40" t="s">
        <v>10</v>
      </c>
      <c r="H28" s="42" t="n">
        <v>6</v>
      </c>
      <c r="I28" s="37" t="e">
        <f aca="false">NA()</f>
        <v>#N/A</v>
      </c>
      <c r="J28" s="42" t="str">
        <f aca="false">B28</f>
        <v>Kim Stanley Robinson</v>
      </c>
      <c r="K28" s="42" t="n">
        <v>2010</v>
      </c>
    </row>
    <row r="29" customFormat="false" ht="12" hidden="false" customHeight="true" outlineLevel="0" collapsed="false">
      <c r="A29" s="44" t="s">
        <v>665</v>
      </c>
      <c r="B29" s="44" t="s">
        <v>666</v>
      </c>
      <c r="C29" s="44" t="s">
        <v>189</v>
      </c>
      <c r="D29" s="44" t="n">
        <v>42920</v>
      </c>
      <c r="E29" s="44" t="n">
        <v>42943</v>
      </c>
      <c r="F29" s="40" t="n">
        <v>544</v>
      </c>
      <c r="G29" s="40" t="s">
        <v>10</v>
      </c>
      <c r="H29" s="42" t="n">
        <v>6</v>
      </c>
      <c r="I29" s="37" t="e">
        <f aca="false">NA()</f>
        <v>#N/A</v>
      </c>
      <c r="J29" s="42" t="str">
        <f aca="false">B29</f>
        <v>Herman Melville</v>
      </c>
      <c r="K29" s="42" t="n">
        <v>1860</v>
      </c>
    </row>
    <row r="30" customFormat="false" ht="12" hidden="false" customHeight="true" outlineLevel="0" collapsed="false">
      <c r="A30" s="44" t="s">
        <v>667</v>
      </c>
      <c r="B30" s="44" t="s">
        <v>633</v>
      </c>
      <c r="C30" s="44" t="s">
        <v>189</v>
      </c>
      <c r="D30" s="44" t="n">
        <v>42943</v>
      </c>
      <c r="E30" s="44" t="n">
        <v>42970</v>
      </c>
      <c r="F30" s="40" t="n">
        <v>512</v>
      </c>
      <c r="G30" s="40" t="s">
        <v>10</v>
      </c>
      <c r="H30" s="42" t="n">
        <v>6.5</v>
      </c>
      <c r="I30" s="37" t="e">
        <f aca="false">NA()</f>
        <v>#N/A</v>
      </c>
      <c r="J30" s="42" t="str">
        <f aca="false">B30</f>
        <v>Robert Jordan</v>
      </c>
      <c r="K30" s="42" t="n">
        <v>1993</v>
      </c>
    </row>
    <row r="31" customFormat="false" ht="12" hidden="false" customHeight="true" outlineLevel="0" collapsed="false">
      <c r="A31" s="44" t="s">
        <v>668</v>
      </c>
      <c r="B31" s="44" t="s">
        <v>589</v>
      </c>
      <c r="C31" s="44" t="s">
        <v>189</v>
      </c>
      <c r="D31" s="44" t="n">
        <v>42970</v>
      </c>
      <c r="E31" s="44" t="n">
        <v>42974</v>
      </c>
      <c r="F31" s="40" t="n">
        <v>236</v>
      </c>
      <c r="G31" s="40" t="s">
        <v>10</v>
      </c>
      <c r="H31" s="42" t="n">
        <v>6</v>
      </c>
      <c r="I31" s="37" t="e">
        <f aca="false">NA()</f>
        <v>#N/A</v>
      </c>
      <c r="J31" s="42" t="str">
        <f aca="false">B31</f>
        <v>Stephen King</v>
      </c>
      <c r="K31" s="42" t="n">
        <v>1982</v>
      </c>
    </row>
    <row r="32" customFormat="false" ht="12" hidden="false" customHeight="true" outlineLevel="0" collapsed="false">
      <c r="A32" s="53" t="n">
        <v>2312</v>
      </c>
      <c r="B32" s="44" t="s">
        <v>199</v>
      </c>
      <c r="C32" s="44" t="s">
        <v>189</v>
      </c>
      <c r="D32" s="44" t="n">
        <v>42974</v>
      </c>
      <c r="E32" s="44" t="n">
        <v>42985</v>
      </c>
      <c r="F32" s="40" t="n">
        <v>528</v>
      </c>
      <c r="G32" s="40" t="s">
        <v>10</v>
      </c>
      <c r="H32" s="42" t="n">
        <v>4.5</v>
      </c>
      <c r="I32" s="37" t="e">
        <f aca="false">NA()</f>
        <v>#N/A</v>
      </c>
      <c r="J32" s="42" t="str">
        <f aca="false">B32</f>
        <v>Kim Stanley Robinson</v>
      </c>
      <c r="K32" s="42" t="n">
        <v>2012</v>
      </c>
    </row>
    <row r="33" customFormat="false" ht="12" hidden="false" customHeight="true" outlineLevel="0" collapsed="false">
      <c r="A33" s="53" t="s">
        <v>669</v>
      </c>
      <c r="B33" s="44" t="s">
        <v>670</v>
      </c>
      <c r="C33" s="44" t="s">
        <v>189</v>
      </c>
      <c r="D33" s="44" t="n">
        <v>42987</v>
      </c>
      <c r="E33" s="44" t="n">
        <v>42993</v>
      </c>
      <c r="F33" s="40" t="n">
        <v>272</v>
      </c>
      <c r="G33" s="40" t="s">
        <v>10</v>
      </c>
      <c r="H33" s="42" t="n">
        <v>8</v>
      </c>
      <c r="I33" s="37" t="e">
        <f aca="false">NA()</f>
        <v>#N/A</v>
      </c>
      <c r="J33" s="42" t="str">
        <f aca="false">B33</f>
        <v>Terry Pratchett</v>
      </c>
      <c r="K33" s="42" t="n">
        <v>1987</v>
      </c>
    </row>
    <row r="34" customFormat="false" ht="12" hidden="false" customHeight="true" outlineLevel="0" collapsed="false">
      <c r="A34" s="53" t="s">
        <v>671</v>
      </c>
      <c r="B34" s="44" t="s">
        <v>651</v>
      </c>
      <c r="C34" s="44" t="s">
        <v>189</v>
      </c>
      <c r="D34" s="44" t="n">
        <v>42993</v>
      </c>
      <c r="E34" s="44" t="n">
        <v>43007</v>
      </c>
      <c r="F34" s="40" t="n">
        <v>496</v>
      </c>
      <c r="G34" s="40" t="s">
        <v>24</v>
      </c>
      <c r="H34" s="42" t="n">
        <v>8.5</v>
      </c>
      <c r="I34" s="37" t="e">
        <f aca="false">NA()</f>
        <v>#N/A</v>
      </c>
      <c r="J34" s="42" t="str">
        <f aca="false">B34</f>
        <v>Yuval Noah Harari</v>
      </c>
      <c r="K34" s="42" t="n">
        <v>2015</v>
      </c>
    </row>
    <row r="35" customFormat="false" ht="12" hidden="false" customHeight="true" outlineLevel="0" collapsed="false">
      <c r="A35" s="53" t="s">
        <v>672</v>
      </c>
      <c r="B35" s="44" t="s">
        <v>670</v>
      </c>
      <c r="C35" s="44" t="s">
        <v>189</v>
      </c>
      <c r="D35" s="44" t="n">
        <v>43007</v>
      </c>
      <c r="E35" s="44" t="n">
        <v>43019</v>
      </c>
      <c r="F35" s="40" t="n">
        <v>328</v>
      </c>
      <c r="G35" s="40" t="s">
        <v>10</v>
      </c>
      <c r="H35" s="42" t="n">
        <v>8.5</v>
      </c>
      <c r="I35" s="37" t="e">
        <f aca="false">NA()</f>
        <v>#N/A</v>
      </c>
      <c r="J35" s="42" t="str">
        <f aca="false">B35</f>
        <v>Terry Pratchett</v>
      </c>
      <c r="K35" s="42" t="n">
        <v>1992</v>
      </c>
    </row>
    <row r="36" customFormat="false" ht="12" hidden="false" customHeight="true" outlineLevel="0" collapsed="false">
      <c r="A36" s="53" t="s">
        <v>673</v>
      </c>
      <c r="B36" s="44" t="s">
        <v>653</v>
      </c>
      <c r="C36" s="44" t="s">
        <v>189</v>
      </c>
      <c r="D36" s="44" t="n">
        <v>43019</v>
      </c>
      <c r="E36" s="44" t="n">
        <v>43046</v>
      </c>
      <c r="F36" s="40" t="n">
        <v>824</v>
      </c>
      <c r="G36" s="40" t="s">
        <v>24</v>
      </c>
      <c r="H36" s="42" t="n">
        <v>7.5</v>
      </c>
      <c r="I36" s="37" t="e">
        <f aca="false">NA()</f>
        <v>#N/A</v>
      </c>
      <c r="J36" s="42" t="str">
        <f aca="false">B36</f>
        <v>Max Hastings</v>
      </c>
      <c r="K36" s="42" t="n">
        <v>2016</v>
      </c>
    </row>
    <row r="37" customFormat="false" ht="12" hidden="false" customHeight="true" outlineLevel="0" collapsed="false">
      <c r="A37" s="53" t="s">
        <v>674</v>
      </c>
      <c r="B37" s="44" t="s">
        <v>675</v>
      </c>
      <c r="C37" s="44" t="s">
        <v>189</v>
      </c>
      <c r="D37" s="44" t="n">
        <v>43046</v>
      </c>
      <c r="E37" s="44" t="n">
        <v>43062</v>
      </c>
      <c r="F37" s="40" t="n">
        <v>432</v>
      </c>
      <c r="G37" s="40" t="s">
        <v>10</v>
      </c>
      <c r="H37" s="42" t="n">
        <v>7.9</v>
      </c>
      <c r="I37" s="37" t="e">
        <f aca="false">NA()</f>
        <v>#N/A</v>
      </c>
      <c r="J37" s="42" t="str">
        <f aca="false">B37</f>
        <v>Lois McMaster Bujold</v>
      </c>
      <c r="K37" s="42" t="n">
        <v>1986</v>
      </c>
    </row>
    <row r="38" customFormat="false" ht="12" hidden="false" customHeight="true" outlineLevel="0" collapsed="false">
      <c r="A38" s="53" t="s">
        <v>676</v>
      </c>
      <c r="B38" s="44" t="s">
        <v>675</v>
      </c>
      <c r="C38" s="44" t="s">
        <v>189</v>
      </c>
      <c r="D38" s="44" t="n">
        <v>43062</v>
      </c>
      <c r="E38" s="44" t="n">
        <v>43067</v>
      </c>
      <c r="F38" s="40" t="n">
        <v>384</v>
      </c>
      <c r="G38" s="40" t="s">
        <v>10</v>
      </c>
      <c r="H38" s="42" t="n">
        <v>8.5</v>
      </c>
      <c r="I38" s="37" t="e">
        <f aca="false">NA()</f>
        <v>#N/A</v>
      </c>
      <c r="J38" s="42" t="str">
        <f aca="false">B38</f>
        <v>Lois McMaster Bujold</v>
      </c>
      <c r="K38" s="42" t="n">
        <v>1989</v>
      </c>
    </row>
    <row r="39" customFormat="false" ht="12" hidden="false" customHeight="true" outlineLevel="0" collapsed="false">
      <c r="A39" s="53" t="s">
        <v>677</v>
      </c>
      <c r="B39" s="44" t="s">
        <v>675</v>
      </c>
      <c r="C39" s="44" t="s">
        <v>189</v>
      </c>
      <c r="D39" s="44" t="n">
        <v>43067</v>
      </c>
      <c r="E39" s="44" t="n">
        <v>43076</v>
      </c>
      <c r="F39" s="40" t="n">
        <v>448</v>
      </c>
      <c r="G39" s="40" t="s">
        <v>10</v>
      </c>
      <c r="H39" s="42" t="n">
        <v>8</v>
      </c>
      <c r="I39" s="37" t="e">
        <f aca="false">NA()</f>
        <v>#N/A</v>
      </c>
      <c r="J39" s="42" t="str">
        <f aca="false">B39</f>
        <v>Lois McMaster Bujold</v>
      </c>
      <c r="K39" s="42" t="n">
        <v>1990</v>
      </c>
    </row>
    <row r="40" customFormat="false" ht="12" hidden="false" customHeight="true" outlineLevel="0" collapsed="false">
      <c r="A40" s="53" t="s">
        <v>678</v>
      </c>
      <c r="B40" s="44" t="s">
        <v>679</v>
      </c>
      <c r="C40" s="44" t="s">
        <v>189</v>
      </c>
      <c r="D40" s="44" t="n">
        <v>43076</v>
      </c>
      <c r="E40" s="44" t="n">
        <v>43086</v>
      </c>
      <c r="F40" s="40" t="n">
        <v>360</v>
      </c>
      <c r="G40" s="40" t="s">
        <v>24</v>
      </c>
      <c r="H40" s="42" t="n">
        <v>4</v>
      </c>
      <c r="I40" s="37" t="e">
        <f aca="false">NA()</f>
        <v>#N/A</v>
      </c>
      <c r="J40" s="42" t="str">
        <f aca="false">B40</f>
        <v>Owen Jones</v>
      </c>
      <c r="K40" s="42" t="n">
        <v>2011</v>
      </c>
    </row>
    <row r="41" customFormat="false" ht="12" hidden="false" customHeight="true" outlineLevel="0" collapsed="false">
      <c r="A41" s="53" t="s">
        <v>680</v>
      </c>
      <c r="B41" s="44" t="s">
        <v>675</v>
      </c>
      <c r="C41" s="44" t="s">
        <v>189</v>
      </c>
      <c r="D41" s="44" t="n">
        <v>43086</v>
      </c>
      <c r="E41" s="44" t="n">
        <v>43100</v>
      </c>
      <c r="F41" s="40" t="n">
        <v>384</v>
      </c>
      <c r="G41" s="40" t="s">
        <v>10</v>
      </c>
      <c r="H41" s="42" t="n">
        <v>6</v>
      </c>
      <c r="I41" s="37" t="e">
        <f aca="false">NA()</f>
        <v>#N/A</v>
      </c>
      <c r="J41" s="42" t="str">
        <f aca="false">B41</f>
        <v>Lois McMaster Bujold</v>
      </c>
      <c r="K41" s="42" t="n">
        <v>1995</v>
      </c>
    </row>
    <row r="42" customFormat="false" ht="12" hidden="false" customHeight="true" outlineLevel="0" collapsed="false">
      <c r="F42" s="32" t="n">
        <f aca="false">SUMIFS(F2:F41,E2:E41,"&gt;0")</f>
        <v>12899</v>
      </c>
      <c r="G42" s="33"/>
      <c r="H42" s="34" t="n">
        <f aca="false">GEOMEAN(H2:H41)</f>
        <v>6.95211652618077</v>
      </c>
      <c r="I42" s="37" t="e">
        <f aca="false">NA()</f>
        <v>#N/A</v>
      </c>
      <c r="J42" s="37" t="e">
        <f aca="false">NA()</f>
        <v>#N/A</v>
      </c>
      <c r="K42" s="34"/>
    </row>
    <row r="43" customFormat="false" ht="12" hidden="false" customHeight="true" outlineLevel="0" collapsed="false">
      <c r="A43" s="24" t="s">
        <v>275</v>
      </c>
      <c r="I43" s="37" t="e">
        <f aca="false">NA()</f>
        <v>#N/A</v>
      </c>
      <c r="J43" s="37" t="e">
        <f aca="false">NA()</f>
        <v>#N/A</v>
      </c>
    </row>
    <row r="44" customFormat="false" ht="24" hidden="false" customHeight="true" outlineLevel="0" collapsed="false">
      <c r="A44" s="6" t="s">
        <v>277</v>
      </c>
      <c r="B44" s="6" t="s">
        <v>278</v>
      </c>
      <c r="C44" s="6" t="s">
        <v>279</v>
      </c>
      <c r="D44" s="6" t="s">
        <v>280</v>
      </c>
      <c r="I44" s="37" t="e">
        <f aca="false">NA()</f>
        <v>#N/A</v>
      </c>
      <c r="J44" s="37" t="e">
        <f aca="false">NA()</f>
        <v>#N/A</v>
      </c>
    </row>
    <row r="45" customFormat="false" ht="12" hidden="false" customHeight="true" outlineLevel="0" collapsed="false">
      <c r="A45" s="6" t="n">
        <f aca="false">COUNTIF(E2:E41,"&gt;0")</f>
        <v>26</v>
      </c>
      <c r="B45" s="6" t="n">
        <f aca="false">ROUND(F42/A45,0)</f>
        <v>496</v>
      </c>
      <c r="C45" s="6" t="e">
        <f aca="false">INDEX(J2:J69,MATCH(MAX(I2:I69),I2:I69,0),1)</f>
        <v>#N/A</v>
      </c>
      <c r="D45" s="6"/>
      <c r="I45" s="37" t="e">
        <f aca="false">NA()</f>
        <v>#N/A</v>
      </c>
      <c r="J45" s="37" t="e">
        <f aca="false">NA()</f>
        <v>#N/A</v>
      </c>
    </row>
    <row r="46" customFormat="false" ht="12" hidden="false" customHeight="true" outlineLevel="0" collapsed="false">
      <c r="I46" s="37" t="e">
        <f aca="false">NA()</f>
        <v>#N/A</v>
      </c>
      <c r="J46" s="37" t="e">
        <f aca="false">NA()</f>
        <v>#N/A</v>
      </c>
    </row>
    <row r="47" customFormat="false" ht="12" hidden="false" customHeight="true" outlineLevel="0" collapsed="false">
      <c r="I47" s="37" t="e">
        <f aca="false">NA()</f>
        <v>#N/A</v>
      </c>
      <c r="J47" s="37" t="e">
        <f aca="false">NA()</f>
        <v>#N/A</v>
      </c>
    </row>
    <row r="48" customFormat="false" ht="12" hidden="false" customHeight="true" outlineLevel="0" collapsed="false">
      <c r="I48" s="37" t="e">
        <f aca="false">NA()</f>
        <v>#N/A</v>
      </c>
      <c r="J48" s="37" t="e">
        <f aca="false">NA()</f>
        <v>#N/A</v>
      </c>
    </row>
    <row r="49" customFormat="false" ht="12" hidden="false" customHeight="true" outlineLevel="0" collapsed="false">
      <c r="A49" s="6" t="s">
        <v>323</v>
      </c>
      <c r="B49" s="6" t="s">
        <v>324</v>
      </c>
      <c r="C49" s="16" t="s">
        <v>189</v>
      </c>
      <c r="D49" s="22" t="n">
        <v>40702</v>
      </c>
      <c r="E49" s="22" t="n">
        <v>40721</v>
      </c>
      <c r="F49" s="16" t="n">
        <v>672</v>
      </c>
      <c r="G49" s="16" t="s">
        <v>58</v>
      </c>
      <c r="H49" s="13" t="n">
        <v>6.5</v>
      </c>
      <c r="I49" s="37" t="e">
        <f aca="false">NA()</f>
        <v>#N/A</v>
      </c>
      <c r="J49" s="37" t="str">
        <f aca="false">B49</f>
        <v>Rick Atkinson</v>
      </c>
    </row>
    <row r="50" customFormat="false" ht="12" hidden="false" customHeight="true" outlineLevel="0" collapsed="false">
      <c r="I50" s="37" t="e">
        <f aca="false">NA()</f>
        <v>#N/A</v>
      </c>
      <c r="J50" s="37" t="e">
        <f aca="false">NA()</f>
        <v>#N/A</v>
      </c>
    </row>
    <row r="51" customFormat="false" ht="12" hidden="false" customHeight="true" outlineLevel="0" collapsed="false">
      <c r="I51" s="37" t="e">
        <f aca="false">NA()</f>
        <v>#N/A</v>
      </c>
      <c r="J51" s="37" t="e">
        <f aca="false">NA()</f>
        <v>#N/A</v>
      </c>
    </row>
    <row r="52" customFormat="false" ht="12" hidden="false" customHeight="true" outlineLevel="0" collapsed="false">
      <c r="I52" s="37" t="e">
        <f aca="false">NA()</f>
        <v>#N/A</v>
      </c>
      <c r="J52" s="37" t="e">
        <f aca="false">NA()</f>
        <v>#N/A</v>
      </c>
    </row>
    <row r="53" customFormat="false" ht="12" hidden="false" customHeight="true" outlineLevel="0" collapsed="false">
      <c r="I53" s="37" t="e">
        <f aca="false">NA()</f>
        <v>#N/A</v>
      </c>
      <c r="J53" s="37" t="e">
        <f aca="false">NA()</f>
        <v>#N/A</v>
      </c>
    </row>
    <row r="54" customFormat="false" ht="12" hidden="false" customHeight="true" outlineLevel="0" collapsed="false">
      <c r="I54" s="37" t="e">
        <f aca="false">NA()</f>
        <v>#N/A</v>
      </c>
      <c r="J54" s="37" t="e">
        <f aca="false">NA()</f>
        <v>#N/A</v>
      </c>
    </row>
    <row r="55" customFormat="false" ht="12" hidden="false" customHeight="true" outlineLevel="0" collapsed="false">
      <c r="I55" s="37" t="e">
        <f aca="false">NA()</f>
        <v>#N/A</v>
      </c>
      <c r="J55" s="37" t="e">
        <f aca="false">NA()</f>
        <v>#N/A</v>
      </c>
    </row>
    <row r="56" customFormat="false" ht="12" hidden="false" customHeight="true" outlineLevel="0" collapsed="false">
      <c r="I56" s="37" t="e">
        <f aca="false">NA()</f>
        <v>#N/A</v>
      </c>
      <c r="J56" s="37" t="e">
        <f aca="false">NA()</f>
        <v>#N/A</v>
      </c>
    </row>
    <row r="57" customFormat="false" ht="12" hidden="false" customHeight="true" outlineLevel="0" collapsed="false">
      <c r="I57" s="37" t="e">
        <f aca="false">NA()</f>
        <v>#N/A</v>
      </c>
      <c r="J57" s="37" t="e">
        <f aca="false">NA()</f>
        <v>#N/A</v>
      </c>
    </row>
    <row r="58" customFormat="false" ht="12" hidden="false" customHeight="true" outlineLevel="0" collapsed="false">
      <c r="I58" s="37" t="e">
        <f aca="false">NA()</f>
        <v>#N/A</v>
      </c>
      <c r="J58" s="37" t="e">
        <f aca="false">NA()</f>
        <v>#N/A</v>
      </c>
    </row>
    <row r="59" customFormat="false" ht="12" hidden="false" customHeight="true" outlineLevel="0" collapsed="false">
      <c r="I59" s="37" t="e">
        <f aca="false">NA()</f>
        <v>#N/A</v>
      </c>
      <c r="J59" s="37" t="e">
        <f aca="false">NA()</f>
        <v>#N/A</v>
      </c>
    </row>
    <row r="60" customFormat="false" ht="12" hidden="false" customHeight="true" outlineLevel="0" collapsed="false">
      <c r="I60" s="37" t="e">
        <f aca="false">NA()</f>
        <v>#N/A</v>
      </c>
      <c r="J60" s="37" t="e">
        <f aca="false">NA()</f>
        <v>#N/A</v>
      </c>
    </row>
    <row r="61" customFormat="false" ht="12" hidden="false" customHeight="true" outlineLevel="0" collapsed="false">
      <c r="I61" s="37" t="e">
        <f aca="false">NA()</f>
        <v>#N/A</v>
      </c>
      <c r="J61" s="37" t="e">
        <f aca="false">NA()</f>
        <v>#N/A</v>
      </c>
    </row>
    <row r="62" customFormat="false" ht="12" hidden="false" customHeight="true" outlineLevel="0" collapsed="false">
      <c r="I62" s="37" t="e">
        <f aca="false">NA()</f>
        <v>#N/A</v>
      </c>
      <c r="J62" s="37" t="e">
        <f aca="false">NA()</f>
        <v>#N/A</v>
      </c>
    </row>
    <row r="63" customFormat="false" ht="12" hidden="false" customHeight="true" outlineLevel="0" collapsed="false">
      <c r="I63" s="37" t="e">
        <f aca="false">NA()</f>
        <v>#N/A</v>
      </c>
      <c r="J63" s="37" t="e">
        <f aca="false">NA()</f>
        <v>#N/A</v>
      </c>
    </row>
    <row r="64" customFormat="false" ht="12" hidden="false" customHeight="true" outlineLevel="0" collapsed="false">
      <c r="I64" s="37" t="e">
        <f aca="false">NA()</f>
        <v>#N/A</v>
      </c>
      <c r="J64" s="37" t="e">
        <f aca="false">NA()</f>
        <v>#N/A</v>
      </c>
    </row>
    <row r="65" customFormat="false" ht="12" hidden="false" customHeight="true" outlineLevel="0" collapsed="false">
      <c r="I65" s="37" t="e">
        <f aca="false">NA()</f>
        <v>#N/A</v>
      </c>
      <c r="J65" s="37" t="e">
        <f aca="false">NA()</f>
        <v>#N/A</v>
      </c>
    </row>
    <row r="66" customFormat="false" ht="12" hidden="false" customHeight="true" outlineLevel="0" collapsed="false">
      <c r="I66" s="37" t="e">
        <f aca="false">NA()</f>
        <v>#N/A</v>
      </c>
      <c r="J66" s="37" t="e">
        <f aca="false">NA()</f>
        <v>#N/A</v>
      </c>
    </row>
    <row r="67" customFormat="false" ht="12" hidden="false" customHeight="true" outlineLevel="0" collapsed="false">
      <c r="I67" s="37" t="e">
        <f aca="false">NA()</f>
        <v>#N/A</v>
      </c>
      <c r="J67" s="37" t="e">
        <f aca="false">NA()</f>
        <v>#N/A</v>
      </c>
    </row>
    <row r="68" customFormat="false" ht="12" hidden="false" customHeight="true" outlineLevel="0" collapsed="false">
      <c r="I68" s="37" t="e">
        <f aca="false">NA()</f>
        <v>#N/A</v>
      </c>
      <c r="J68" s="37" t="e">
        <f aca="false">NA()</f>
        <v>#N/A</v>
      </c>
    </row>
    <row r="69" customFormat="false" ht="12" hidden="false" customHeight="true" outlineLevel="0" collapsed="false">
      <c r="I69" s="37" t="e">
        <f aca="false">NA()</f>
        <v>#N/A</v>
      </c>
      <c r="J69" s="37" t="e">
        <f aca="false">NA()</f>
        <v>#N/A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C25" activeCellId="0" sqref="C25"/>
    </sheetView>
  </sheetViews>
  <sheetFormatPr defaultColWidth="10.5" defaultRowHeight="12" zeroHeight="false" outlineLevelRow="0" outlineLevelCol="0"/>
  <cols>
    <col collapsed="false" customWidth="true" hidden="false" outlineLevel="0" max="1" min="1" style="0" width="41.49"/>
    <col collapsed="false" customWidth="true" hidden="false" outlineLevel="0" max="2" min="2" style="0" width="21.5"/>
    <col collapsed="false" customWidth="true" hidden="false" outlineLevel="0" max="3" min="3" style="0" width="9.49"/>
    <col collapsed="false" customWidth="true" hidden="false" outlineLevel="0" max="6" min="6" style="0" width="11.5"/>
    <col collapsed="false" customWidth="true" hidden="false" outlineLevel="0" max="8" min="8" style="0" width="22.49"/>
    <col collapsed="false" customWidth="false" hidden="true" outlineLevel="0" max="10" min="9" style="0" width="10.5"/>
    <col collapsed="false" customWidth="true" hidden="false" outlineLevel="0" max="11" min="11" style="0" width="22.49"/>
  </cols>
  <sheetData>
    <row r="1" s="6" customFormat="true" ht="12.75" hidden="false" customHeight="true" outlineLevel="0" collapsed="false">
      <c r="A1" s="24" t="s">
        <v>0</v>
      </c>
      <c r="B1" s="25" t="s">
        <v>1</v>
      </c>
      <c r="C1" s="25" t="s">
        <v>2</v>
      </c>
      <c r="D1" s="26" t="s">
        <v>3</v>
      </c>
      <c r="E1" s="27" t="s">
        <v>4</v>
      </c>
      <c r="F1" s="26" t="s">
        <v>5</v>
      </c>
      <c r="G1" s="27" t="s">
        <v>6</v>
      </c>
      <c r="H1" s="28" t="s">
        <v>7</v>
      </c>
      <c r="I1" s="35" t="s">
        <v>281</v>
      </c>
      <c r="J1" s="36" t="s">
        <v>1</v>
      </c>
      <c r="K1" s="28" t="s">
        <v>513</v>
      </c>
    </row>
    <row r="2" customFormat="false" ht="12" hidden="false" customHeight="true" outlineLevel="0" collapsed="false">
      <c r="A2" s="49" t="s">
        <v>452</v>
      </c>
      <c r="B2" s="49" t="s">
        <v>453</v>
      </c>
      <c r="C2" s="49" t="s">
        <v>70</v>
      </c>
      <c r="D2" s="49" t="n">
        <v>40150</v>
      </c>
      <c r="E2" s="49"/>
      <c r="F2" s="50" t="n">
        <v>222</v>
      </c>
      <c r="G2" s="50" t="s">
        <v>10</v>
      </c>
      <c r="H2" s="51" t="s">
        <v>110</v>
      </c>
      <c r="I2" s="37" t="e">
        <f aca="false">NA()</f>
        <v>#N/A</v>
      </c>
      <c r="J2" s="37" t="str">
        <f aca="false">B2</f>
        <v>Juan Rulfo</v>
      </c>
      <c r="K2" s="51"/>
    </row>
    <row r="3" customFormat="false" ht="12" hidden="false" customHeight="true" outlineLevel="0" collapsed="false">
      <c r="A3" s="49" t="s">
        <v>454</v>
      </c>
      <c r="B3" s="49" t="s">
        <v>455</v>
      </c>
      <c r="C3" s="49" t="s">
        <v>33</v>
      </c>
      <c r="D3" s="49" t="n">
        <v>40261</v>
      </c>
      <c r="E3" s="49"/>
      <c r="F3" s="50" t="n">
        <v>910</v>
      </c>
      <c r="G3" s="50" t="s">
        <v>10</v>
      </c>
      <c r="H3" s="51" t="s">
        <v>110</v>
      </c>
      <c r="I3" s="37" t="e">
        <f aca="false">NA()</f>
        <v>#N/A</v>
      </c>
      <c r="J3" s="37" t="str">
        <f aca="false">B3</f>
        <v>James Joyce</v>
      </c>
      <c r="K3" s="51"/>
    </row>
    <row r="4" customFormat="false" ht="12" hidden="false" customHeight="true" outlineLevel="0" collapsed="false">
      <c r="A4" s="49" t="s">
        <v>456</v>
      </c>
      <c r="B4" s="49" t="s">
        <v>457</v>
      </c>
      <c r="C4" s="49" t="s">
        <v>189</v>
      </c>
      <c r="D4" s="49" t="n">
        <v>40282</v>
      </c>
      <c r="E4" s="49"/>
      <c r="F4" s="50" t="n">
        <v>480</v>
      </c>
      <c r="G4" s="50" t="s">
        <v>10</v>
      </c>
      <c r="H4" s="51" t="s">
        <v>110</v>
      </c>
      <c r="I4" s="37" t="e">
        <f aca="false">NA()</f>
        <v>#N/A</v>
      </c>
      <c r="J4" s="37" t="str">
        <f aca="false">B4</f>
        <v>Ambrose Bierce</v>
      </c>
      <c r="K4" s="51"/>
    </row>
    <row r="5" customFormat="false" ht="12" hidden="false" customHeight="true" outlineLevel="0" collapsed="false">
      <c r="A5" s="49" t="s">
        <v>458</v>
      </c>
      <c r="B5" s="49" t="s">
        <v>459</v>
      </c>
      <c r="C5" s="49" t="s">
        <v>189</v>
      </c>
      <c r="D5" s="49" t="n">
        <v>40296</v>
      </c>
      <c r="E5" s="49"/>
      <c r="F5" s="50" t="n">
        <v>209</v>
      </c>
      <c r="G5" s="50" t="s">
        <v>10</v>
      </c>
      <c r="H5" s="51" t="s">
        <v>110</v>
      </c>
      <c r="I5" s="37" t="e">
        <f aca="false">NA()</f>
        <v>#N/A</v>
      </c>
      <c r="J5" s="37" t="str">
        <f aca="false">B5</f>
        <v>Dalton Trumbo</v>
      </c>
      <c r="K5" s="51"/>
    </row>
    <row r="6" customFormat="false" ht="12" hidden="false" customHeight="true" outlineLevel="0" collapsed="false">
      <c r="A6" s="49" t="s">
        <v>460</v>
      </c>
      <c r="B6" s="49" t="s">
        <v>461</v>
      </c>
      <c r="C6" s="49" t="s">
        <v>189</v>
      </c>
      <c r="D6" s="49" t="n">
        <v>40366</v>
      </c>
      <c r="E6" s="49"/>
      <c r="F6" s="50" t="n">
        <v>160</v>
      </c>
      <c r="G6" s="50" t="s">
        <v>24</v>
      </c>
      <c r="H6" s="51" t="s">
        <v>110</v>
      </c>
      <c r="I6" s="37" t="e">
        <f aca="false">NA()</f>
        <v>#N/A</v>
      </c>
      <c r="J6" s="37" t="str">
        <f aca="false">B6</f>
        <v>Michel Dansel</v>
      </c>
      <c r="K6" s="51"/>
    </row>
    <row r="7" customFormat="false" ht="12" hidden="false" customHeight="true" outlineLevel="0" collapsed="false">
      <c r="A7" s="49" t="s">
        <v>462</v>
      </c>
      <c r="B7" s="49" t="s">
        <v>285</v>
      </c>
      <c r="C7" s="49" t="s">
        <v>33</v>
      </c>
      <c r="D7" s="49" t="n">
        <v>40373</v>
      </c>
      <c r="E7" s="49"/>
      <c r="F7" s="50" t="n">
        <v>502</v>
      </c>
      <c r="G7" s="50" t="s">
        <v>24</v>
      </c>
      <c r="H7" s="51" t="s">
        <v>110</v>
      </c>
      <c r="I7" s="37" t="e">
        <f aca="false">NA()</f>
        <v>#N/A</v>
      </c>
      <c r="J7" s="37" t="str">
        <f aca="false">B7</f>
        <v>Varios</v>
      </c>
      <c r="K7" s="51"/>
    </row>
    <row r="8" customFormat="false" ht="12" hidden="false" customHeight="true" outlineLevel="0" collapsed="false">
      <c r="A8" s="49" t="s">
        <v>463</v>
      </c>
      <c r="B8" s="49" t="s">
        <v>464</v>
      </c>
      <c r="C8" s="49" t="s">
        <v>189</v>
      </c>
      <c r="D8" s="49" t="n">
        <v>40385</v>
      </c>
      <c r="E8" s="49"/>
      <c r="F8" s="50" t="n">
        <v>384</v>
      </c>
      <c r="G8" s="50" t="s">
        <v>58</v>
      </c>
      <c r="H8" s="51" t="s">
        <v>110</v>
      </c>
      <c r="I8" s="37" t="e">
        <f aca="false">NA()</f>
        <v>#N/A</v>
      </c>
      <c r="J8" s="37" t="str">
        <f aca="false">B8</f>
        <v>Primitivo Martínez</v>
      </c>
      <c r="K8" s="51"/>
    </row>
    <row r="9" customFormat="false" ht="12" hidden="false" customHeight="true" outlineLevel="0" collapsed="false">
      <c r="A9" s="49" t="s">
        <v>465</v>
      </c>
      <c r="B9" s="49" t="s">
        <v>466</v>
      </c>
      <c r="C9" s="49" t="s">
        <v>189</v>
      </c>
      <c r="D9" s="49" t="n">
        <v>40438</v>
      </c>
      <c r="E9" s="49"/>
      <c r="F9" s="50" t="n">
        <v>300</v>
      </c>
      <c r="G9" s="50" t="s">
        <v>202</v>
      </c>
      <c r="H9" s="51" t="s">
        <v>110</v>
      </c>
      <c r="I9" s="37" t="e">
        <f aca="false">NA()</f>
        <v>#N/A</v>
      </c>
      <c r="J9" s="37" t="str">
        <f aca="false">B9</f>
        <v>Richard Leakey</v>
      </c>
      <c r="K9" s="51"/>
    </row>
    <row r="10" customFormat="false" ht="12" hidden="false" customHeight="true" outlineLevel="0" collapsed="false">
      <c r="A10" s="49" t="s">
        <v>467</v>
      </c>
      <c r="B10" s="49" t="s">
        <v>468</v>
      </c>
      <c r="C10" s="49" t="s">
        <v>33</v>
      </c>
      <c r="D10" s="49"/>
      <c r="E10" s="49"/>
      <c r="F10" s="50" t="n">
        <v>338</v>
      </c>
      <c r="G10" s="50" t="s">
        <v>10</v>
      </c>
      <c r="H10" s="51" t="s">
        <v>110</v>
      </c>
      <c r="I10" s="37" t="e">
        <f aca="false">NA()</f>
        <v>#N/A</v>
      </c>
      <c r="J10" s="37" t="str">
        <f aca="false">B10</f>
        <v>Paul Auster</v>
      </c>
      <c r="K10" s="51"/>
    </row>
    <row r="11" customFormat="false" ht="12" hidden="false" customHeight="true" outlineLevel="0" collapsed="false">
      <c r="A11" s="49" t="s">
        <v>469</v>
      </c>
      <c r="B11" s="49" t="s">
        <v>470</v>
      </c>
      <c r="C11" s="49" t="s">
        <v>189</v>
      </c>
      <c r="D11" s="49" t="n">
        <v>40655</v>
      </c>
      <c r="E11" s="49"/>
      <c r="F11" s="50" t="n">
        <v>300</v>
      </c>
      <c r="G11" s="50" t="s">
        <v>24</v>
      </c>
      <c r="H11" s="51" t="s">
        <v>110</v>
      </c>
      <c r="I11" s="37" t="e">
        <f aca="false">NA()</f>
        <v>#N/A</v>
      </c>
      <c r="J11" s="37" t="str">
        <f aca="false">B11</f>
        <v>Umberto Eco</v>
      </c>
      <c r="K11" s="51"/>
    </row>
    <row r="12" customFormat="false" ht="12" hidden="false" customHeight="true" outlineLevel="0" collapsed="false">
      <c r="A12" s="49" t="s">
        <v>471</v>
      </c>
      <c r="B12" s="49" t="s">
        <v>472</v>
      </c>
      <c r="C12" s="49" t="s">
        <v>33</v>
      </c>
      <c r="D12" s="49" t="n">
        <v>40736</v>
      </c>
      <c r="E12" s="49"/>
      <c r="F12" s="50" t="n">
        <v>144</v>
      </c>
      <c r="G12" s="50" t="s">
        <v>24</v>
      </c>
      <c r="H12" s="51" t="s">
        <v>110</v>
      </c>
      <c r="I12" s="37" t="e">
        <f aca="false">NA()</f>
        <v>#N/A</v>
      </c>
      <c r="J12" s="37" t="str">
        <f aca="false">B12</f>
        <v>Comité invisible</v>
      </c>
      <c r="K12" s="51"/>
    </row>
    <row r="13" customFormat="false" ht="12" hidden="false" customHeight="true" outlineLevel="0" collapsed="false">
      <c r="A13" s="49" t="s">
        <v>525</v>
      </c>
      <c r="B13" s="49" t="s">
        <v>526</v>
      </c>
      <c r="C13" s="49" t="s">
        <v>189</v>
      </c>
      <c r="D13" s="49" t="n">
        <v>41801</v>
      </c>
      <c r="E13" s="49"/>
      <c r="F13" s="52" t="n">
        <v>272</v>
      </c>
      <c r="G13" s="52" t="s">
        <v>10</v>
      </c>
      <c r="H13" s="51" t="s">
        <v>110</v>
      </c>
      <c r="I13" s="37" t="e">
        <f aca="false">NA()</f>
        <v>#N/A</v>
      </c>
      <c r="J13" s="37" t="str">
        <f aca="false">B13</f>
        <v>Carlos Sisi</v>
      </c>
      <c r="K13" s="51"/>
    </row>
    <row r="14" customFormat="false" ht="12" hidden="false" customHeight="true" outlineLevel="0" collapsed="false">
      <c r="A14" s="49" t="s">
        <v>536</v>
      </c>
      <c r="B14" s="49" t="s">
        <v>537</v>
      </c>
      <c r="C14" s="49" t="s">
        <v>189</v>
      </c>
      <c r="D14" s="49" t="n">
        <v>42015</v>
      </c>
      <c r="E14" s="49"/>
      <c r="F14" s="52" t="n">
        <v>232</v>
      </c>
      <c r="G14" s="52" t="s">
        <v>10</v>
      </c>
      <c r="H14" s="51" t="s">
        <v>110</v>
      </c>
      <c r="I14" s="37" t="e">
        <f aca="false">NA()</f>
        <v>#N/A</v>
      </c>
      <c r="J14" s="37" t="str">
        <f aca="false">B14</f>
        <v>William Gibson</v>
      </c>
      <c r="K14" s="51"/>
    </row>
    <row r="15" customFormat="false" ht="12" hidden="false" customHeight="true" outlineLevel="0" collapsed="false">
      <c r="A15" s="53" t="s">
        <v>660</v>
      </c>
      <c r="B15" s="44" t="s">
        <v>661</v>
      </c>
      <c r="C15" s="44" t="s">
        <v>189</v>
      </c>
      <c r="D15" s="44" t="n">
        <v>42897</v>
      </c>
      <c r="E15" s="44" t="n">
        <v>43200</v>
      </c>
      <c r="F15" s="40" t="n">
        <v>573</v>
      </c>
      <c r="G15" s="40" t="s">
        <v>10</v>
      </c>
      <c r="H15" s="42" t="n">
        <v>8</v>
      </c>
      <c r="I15" s="37" t="e">
        <f aca="false">NA()</f>
        <v>#N/A</v>
      </c>
      <c r="J15" s="42" t="str">
        <f aca="false">B15</f>
        <v>Miguel de Cervantes Saavedra</v>
      </c>
      <c r="K15" s="42" t="n">
        <v>1605</v>
      </c>
    </row>
    <row r="16" customFormat="false" ht="12" hidden="false" customHeight="true" outlineLevel="0" collapsed="false">
      <c r="A16" s="53" t="s">
        <v>681</v>
      </c>
      <c r="B16" s="44" t="s">
        <v>670</v>
      </c>
      <c r="C16" s="44" t="s">
        <v>189</v>
      </c>
      <c r="D16" s="44" t="n">
        <v>43100</v>
      </c>
      <c r="E16" s="44" t="n">
        <v>43119</v>
      </c>
      <c r="F16" s="40" t="n">
        <v>400</v>
      </c>
      <c r="G16" s="40" t="s">
        <v>10</v>
      </c>
      <c r="H16" s="42" t="n">
        <v>8</v>
      </c>
      <c r="I16" s="37"/>
      <c r="J16" s="42"/>
      <c r="K16" s="42" t="n">
        <v>1993</v>
      </c>
    </row>
    <row r="17" customFormat="false" ht="12" hidden="false" customHeight="true" outlineLevel="0" collapsed="false">
      <c r="A17" s="53" t="s">
        <v>682</v>
      </c>
      <c r="B17" s="44" t="s">
        <v>683</v>
      </c>
      <c r="C17" s="44" t="s">
        <v>684</v>
      </c>
      <c r="D17" s="44" t="n">
        <v>43105</v>
      </c>
      <c r="E17" s="44" t="n">
        <v>43105</v>
      </c>
      <c r="F17" s="40" t="n">
        <v>40</v>
      </c>
      <c r="G17" s="40" t="s">
        <v>172</v>
      </c>
      <c r="H17" s="42" t="n">
        <v>8</v>
      </c>
      <c r="I17" s="37"/>
      <c r="J17" s="42"/>
      <c r="K17" s="42" t="n">
        <v>2017</v>
      </c>
    </row>
    <row r="18" customFormat="false" ht="12" hidden="false" customHeight="true" outlineLevel="0" collapsed="false">
      <c r="A18" s="53" t="s">
        <v>685</v>
      </c>
      <c r="B18" s="44" t="s">
        <v>686</v>
      </c>
      <c r="C18" s="44" t="s">
        <v>684</v>
      </c>
      <c r="D18" s="44" t="n">
        <v>43105</v>
      </c>
      <c r="E18" s="44" t="n">
        <v>43114</v>
      </c>
      <c r="F18" s="40" t="n">
        <v>288</v>
      </c>
      <c r="G18" s="40" t="s">
        <v>106</v>
      </c>
      <c r="H18" s="42" t="n">
        <v>7</v>
      </c>
      <c r="I18" s="37"/>
      <c r="J18" s="42"/>
      <c r="K18" s="42" t="n">
        <v>2017</v>
      </c>
    </row>
    <row r="19" customFormat="false" ht="12" hidden="false" customHeight="true" outlineLevel="0" collapsed="false">
      <c r="A19" s="53" t="s">
        <v>687</v>
      </c>
      <c r="B19" s="44" t="s">
        <v>688</v>
      </c>
      <c r="C19" s="44" t="s">
        <v>684</v>
      </c>
      <c r="D19" s="44" t="n">
        <v>43115</v>
      </c>
      <c r="E19" s="44" t="n">
        <v>43242</v>
      </c>
      <c r="F19" s="40" t="n">
        <v>328</v>
      </c>
      <c r="G19" s="40" t="s">
        <v>106</v>
      </c>
      <c r="H19" s="42" t="n">
        <v>6</v>
      </c>
      <c r="I19" s="37"/>
      <c r="J19" s="42"/>
      <c r="K19" s="42" t="n">
        <v>2017</v>
      </c>
    </row>
    <row r="20" customFormat="false" ht="12" hidden="false" customHeight="true" outlineLevel="0" collapsed="false">
      <c r="A20" s="53" t="s">
        <v>689</v>
      </c>
      <c r="B20" s="44" t="s">
        <v>670</v>
      </c>
      <c r="C20" s="44" t="s">
        <v>189</v>
      </c>
      <c r="D20" s="44" t="n">
        <v>43119</v>
      </c>
      <c r="E20" s="44" t="n">
        <v>43142</v>
      </c>
      <c r="F20" s="40" t="n">
        <v>352</v>
      </c>
      <c r="G20" s="40" t="s">
        <v>10</v>
      </c>
      <c r="H20" s="42" t="n">
        <v>8</v>
      </c>
      <c r="I20" s="37"/>
      <c r="J20" s="42"/>
      <c r="K20" s="42" t="n">
        <v>1993</v>
      </c>
    </row>
    <row r="21" customFormat="false" ht="12" hidden="false" customHeight="true" outlineLevel="0" collapsed="false">
      <c r="A21" s="53" t="s">
        <v>690</v>
      </c>
      <c r="B21" s="44" t="s">
        <v>670</v>
      </c>
      <c r="C21" s="44" t="s">
        <v>189</v>
      </c>
      <c r="D21" s="44" t="n">
        <v>43143</v>
      </c>
      <c r="E21" s="44" t="n">
        <v>43159</v>
      </c>
      <c r="F21" s="40" t="n">
        <v>368</v>
      </c>
      <c r="G21" s="40" t="s">
        <v>10</v>
      </c>
      <c r="H21" s="42" t="n">
        <v>8.5</v>
      </c>
      <c r="I21" s="37"/>
      <c r="J21" s="42"/>
      <c r="K21" s="42" t="n">
        <v>1996</v>
      </c>
    </row>
    <row r="22" customFormat="false" ht="12" hidden="false" customHeight="true" outlineLevel="0" collapsed="false">
      <c r="A22" s="53" t="s">
        <v>691</v>
      </c>
      <c r="B22" s="44" t="s">
        <v>670</v>
      </c>
      <c r="C22" s="44" t="s">
        <v>189</v>
      </c>
      <c r="D22" s="44" t="n">
        <v>43160</v>
      </c>
      <c r="E22" s="44" t="n">
        <v>43169</v>
      </c>
      <c r="F22" s="40" t="n">
        <v>400</v>
      </c>
      <c r="G22" s="40" t="s">
        <v>10</v>
      </c>
      <c r="H22" s="42" t="n">
        <v>9</v>
      </c>
      <c r="I22" s="37"/>
      <c r="J22" s="42"/>
      <c r="K22" s="42" t="n">
        <v>1997</v>
      </c>
    </row>
    <row r="23" customFormat="false" ht="12" hidden="false" customHeight="true" outlineLevel="0" collapsed="false">
      <c r="A23" s="53" t="s">
        <v>692</v>
      </c>
      <c r="B23" s="44" t="s">
        <v>693</v>
      </c>
      <c r="C23" s="44" t="s">
        <v>189</v>
      </c>
      <c r="D23" s="44" t="n">
        <v>43169</v>
      </c>
      <c r="E23" s="44" t="n">
        <v>43182</v>
      </c>
      <c r="F23" s="40" t="n">
        <v>392</v>
      </c>
      <c r="G23" s="40" t="s">
        <v>10</v>
      </c>
      <c r="H23" s="42" t="n">
        <v>8</v>
      </c>
      <c r="I23" s="37"/>
      <c r="J23" s="42"/>
      <c r="K23" s="42" t="n">
        <v>2011</v>
      </c>
    </row>
    <row r="24" customFormat="false" ht="12" hidden="false" customHeight="true" outlineLevel="0" collapsed="false">
      <c r="A24" s="53" t="s">
        <v>694</v>
      </c>
      <c r="B24" s="44" t="s">
        <v>426</v>
      </c>
      <c r="C24" s="44" t="s">
        <v>189</v>
      </c>
      <c r="D24" s="44" t="n">
        <v>43200</v>
      </c>
      <c r="E24" s="44" t="n">
        <v>43206</v>
      </c>
      <c r="F24" s="40" t="n">
        <v>224</v>
      </c>
      <c r="G24" s="40" t="s">
        <v>10</v>
      </c>
      <c r="H24" s="42" t="n">
        <v>7.8</v>
      </c>
      <c r="I24" s="37"/>
      <c r="J24" s="42"/>
      <c r="K24" s="42" t="n">
        <v>1966</v>
      </c>
    </row>
    <row r="25" customFormat="false" ht="12" hidden="false" customHeight="true" outlineLevel="0" collapsed="false">
      <c r="A25" s="53" t="s">
        <v>695</v>
      </c>
      <c r="B25" s="44" t="s">
        <v>199</v>
      </c>
      <c r="C25" s="44" t="s">
        <v>189</v>
      </c>
      <c r="D25" s="44" t="n">
        <v>43206</v>
      </c>
      <c r="E25" s="44" t="n">
        <v>43224</v>
      </c>
      <c r="F25" s="40" t="n">
        <v>448</v>
      </c>
      <c r="G25" s="40" t="s">
        <v>10</v>
      </c>
      <c r="H25" s="42" t="n">
        <v>7</v>
      </c>
      <c r="I25" s="37"/>
      <c r="J25" s="42"/>
      <c r="K25" s="42" t="n">
        <v>2015</v>
      </c>
    </row>
    <row r="26" customFormat="false" ht="12" hidden="false" customHeight="true" outlineLevel="0" collapsed="false">
      <c r="A26" s="53" t="s">
        <v>696</v>
      </c>
      <c r="B26" s="44" t="s">
        <v>697</v>
      </c>
      <c r="C26" s="44" t="s">
        <v>189</v>
      </c>
      <c r="D26" s="44" t="n">
        <v>43224</v>
      </c>
      <c r="E26" s="44" t="n">
        <v>43258</v>
      </c>
      <c r="F26" s="40" t="n">
        <v>584</v>
      </c>
      <c r="G26" s="40" t="s">
        <v>58</v>
      </c>
      <c r="H26" s="42" t="n">
        <v>7.5</v>
      </c>
      <c r="I26" s="37"/>
      <c r="J26" s="42"/>
      <c r="K26" s="42" t="n">
        <v>2015</v>
      </c>
    </row>
    <row r="27" customFormat="false" ht="12" hidden="false" customHeight="true" outlineLevel="0" collapsed="false">
      <c r="A27" s="53" t="s">
        <v>698</v>
      </c>
      <c r="B27" s="44" t="s">
        <v>699</v>
      </c>
      <c r="C27" s="44" t="s">
        <v>684</v>
      </c>
      <c r="D27" s="44" t="n">
        <v>43229</v>
      </c>
      <c r="E27" s="44" t="n">
        <v>43233</v>
      </c>
      <c r="F27" s="40" t="n">
        <v>352</v>
      </c>
      <c r="G27" s="40" t="s">
        <v>58</v>
      </c>
      <c r="H27" s="42" t="n">
        <v>9</v>
      </c>
      <c r="I27" s="37"/>
      <c r="J27" s="42"/>
      <c r="K27" s="42" t="n">
        <v>2018</v>
      </c>
    </row>
    <row r="28" customFormat="false" ht="12" hidden="false" customHeight="true" outlineLevel="0" collapsed="false">
      <c r="A28" s="53" t="s">
        <v>700</v>
      </c>
      <c r="B28" s="44" t="s">
        <v>701</v>
      </c>
      <c r="C28" s="44" t="s">
        <v>684</v>
      </c>
      <c r="D28" s="44" t="n">
        <v>43250</v>
      </c>
      <c r="E28" s="44" t="n">
        <v>43263</v>
      </c>
      <c r="F28" s="40" t="n">
        <v>208</v>
      </c>
      <c r="G28" s="40" t="s">
        <v>58</v>
      </c>
      <c r="H28" s="42" t="n">
        <v>9</v>
      </c>
      <c r="I28" s="37"/>
      <c r="J28" s="42"/>
      <c r="K28" s="42" t="n">
        <v>2017</v>
      </c>
    </row>
    <row r="29" customFormat="false" ht="12" hidden="false" customHeight="true" outlineLevel="0" collapsed="false">
      <c r="A29" s="53" t="s">
        <v>702</v>
      </c>
      <c r="B29" s="44" t="s">
        <v>703</v>
      </c>
      <c r="C29" s="44" t="s">
        <v>189</v>
      </c>
      <c r="D29" s="44" t="n">
        <v>43258</v>
      </c>
      <c r="E29" s="44" t="n">
        <v>43280</v>
      </c>
      <c r="F29" s="40" t="n">
        <v>416</v>
      </c>
      <c r="G29" s="40" t="s">
        <v>10</v>
      </c>
      <c r="H29" s="42" t="n">
        <v>9</v>
      </c>
      <c r="I29" s="37"/>
      <c r="J29" s="42"/>
      <c r="K29" s="42" t="n">
        <v>2015</v>
      </c>
    </row>
    <row r="30" customFormat="false" ht="12" hidden="false" customHeight="true" outlineLevel="0" collapsed="false">
      <c r="A30" s="53" t="s">
        <v>704</v>
      </c>
      <c r="B30" s="44" t="s">
        <v>705</v>
      </c>
      <c r="C30" s="44" t="s">
        <v>684</v>
      </c>
      <c r="D30" s="44" t="n">
        <v>43263</v>
      </c>
      <c r="E30" s="44" t="n">
        <v>43354</v>
      </c>
      <c r="F30" s="40" t="n">
        <v>300</v>
      </c>
      <c r="G30" s="40" t="s">
        <v>24</v>
      </c>
      <c r="H30" s="42" t="n">
        <v>6</v>
      </c>
      <c r="I30" s="37"/>
      <c r="J30" s="42"/>
      <c r="K30" s="42" t="n">
        <v>2017</v>
      </c>
    </row>
    <row r="31" customFormat="false" ht="12" hidden="false" customHeight="true" outlineLevel="0" collapsed="false">
      <c r="A31" s="53" t="s">
        <v>706</v>
      </c>
      <c r="B31" s="44" t="s">
        <v>707</v>
      </c>
      <c r="C31" s="44" t="s">
        <v>189</v>
      </c>
      <c r="D31" s="44" t="n">
        <v>43280</v>
      </c>
      <c r="E31" s="44" t="n">
        <v>43296</v>
      </c>
      <c r="F31" s="40" t="n">
        <v>392</v>
      </c>
      <c r="G31" s="40" t="s">
        <v>58</v>
      </c>
      <c r="H31" s="42" t="n">
        <v>7</v>
      </c>
      <c r="I31" s="37"/>
      <c r="J31" s="42"/>
      <c r="K31" s="42" t="n">
        <v>2007</v>
      </c>
    </row>
    <row r="32" customFormat="false" ht="12" hidden="false" customHeight="true" outlineLevel="0" collapsed="false">
      <c r="A32" s="53" t="s">
        <v>708</v>
      </c>
      <c r="B32" s="44" t="s">
        <v>675</v>
      </c>
      <c r="C32" s="44" t="s">
        <v>189</v>
      </c>
      <c r="D32" s="44" t="n">
        <v>43297</v>
      </c>
      <c r="E32" s="44" t="n">
        <v>43299</v>
      </c>
      <c r="F32" s="40" t="n">
        <v>224</v>
      </c>
      <c r="G32" s="40" t="s">
        <v>10</v>
      </c>
      <c r="H32" s="42" t="n">
        <v>7.5</v>
      </c>
      <c r="I32" s="37" t="e">
        <f aca="false">NA()</f>
        <v>#N/A</v>
      </c>
      <c r="J32" s="42" t="str">
        <f aca="false">B32</f>
        <v>Lois McMaster Bujold</v>
      </c>
      <c r="K32" s="42" t="n">
        <v>1986</v>
      </c>
    </row>
    <row r="33" customFormat="false" ht="12" hidden="false" customHeight="true" outlineLevel="0" collapsed="false">
      <c r="A33" s="53" t="s">
        <v>709</v>
      </c>
      <c r="B33" s="44" t="s">
        <v>675</v>
      </c>
      <c r="C33" s="44" t="s">
        <v>189</v>
      </c>
      <c r="D33" s="44" t="n">
        <v>43299</v>
      </c>
      <c r="E33" s="44" t="n">
        <v>43301</v>
      </c>
      <c r="F33" s="40" t="n">
        <v>400</v>
      </c>
      <c r="G33" s="40" t="s">
        <v>10</v>
      </c>
      <c r="H33" s="42" t="n">
        <v>7.3</v>
      </c>
      <c r="I33" s="37"/>
      <c r="J33" s="42"/>
      <c r="K33" s="42" t="n">
        <v>1989</v>
      </c>
    </row>
    <row r="34" customFormat="false" ht="12" hidden="false" customHeight="true" outlineLevel="0" collapsed="false">
      <c r="A34" s="53" t="s">
        <v>710</v>
      </c>
      <c r="B34" s="44" t="s">
        <v>711</v>
      </c>
      <c r="C34" s="44" t="s">
        <v>189</v>
      </c>
      <c r="D34" s="44" t="n">
        <v>43302</v>
      </c>
      <c r="E34" s="44" t="n">
        <v>43303</v>
      </c>
      <c r="F34" s="40" t="n">
        <v>288</v>
      </c>
      <c r="G34" s="40" t="s">
        <v>24</v>
      </c>
      <c r="H34" s="42" t="n">
        <v>7</v>
      </c>
      <c r="I34" s="37"/>
      <c r="J34" s="42"/>
      <c r="K34" s="42" t="n">
        <v>1995</v>
      </c>
    </row>
    <row r="35" customFormat="false" ht="12" hidden="false" customHeight="true" outlineLevel="0" collapsed="false">
      <c r="A35" s="53" t="s">
        <v>712</v>
      </c>
      <c r="B35" s="44" t="s">
        <v>713</v>
      </c>
      <c r="C35" s="44" t="s">
        <v>189</v>
      </c>
      <c r="D35" s="44" t="n">
        <v>43303</v>
      </c>
      <c r="E35" s="44" t="n">
        <v>43316</v>
      </c>
      <c r="F35" s="40" t="n">
        <v>416</v>
      </c>
      <c r="G35" s="40" t="s">
        <v>10</v>
      </c>
      <c r="H35" s="42" t="n">
        <v>6</v>
      </c>
      <c r="I35" s="37"/>
      <c r="J35" s="42"/>
      <c r="K35" s="42" t="n">
        <v>1994</v>
      </c>
    </row>
    <row r="36" customFormat="false" ht="12" hidden="false" customHeight="true" outlineLevel="0" collapsed="false">
      <c r="A36" s="53" t="s">
        <v>714</v>
      </c>
      <c r="B36" s="44" t="s">
        <v>426</v>
      </c>
      <c r="C36" s="44" t="s">
        <v>189</v>
      </c>
      <c r="D36" s="44" t="n">
        <v>43297</v>
      </c>
      <c r="E36" s="44" t="n">
        <v>43318</v>
      </c>
      <c r="F36" s="40" t="n">
        <v>256</v>
      </c>
      <c r="G36" s="40" t="s">
        <v>10</v>
      </c>
      <c r="H36" s="42" t="n">
        <v>8</v>
      </c>
      <c r="I36" s="37"/>
      <c r="J36" s="42"/>
      <c r="K36" s="42" t="n">
        <v>1967</v>
      </c>
    </row>
    <row r="37" customFormat="false" ht="12" hidden="false" customHeight="true" outlineLevel="0" collapsed="false">
      <c r="A37" s="53" t="s">
        <v>346</v>
      </c>
      <c r="B37" s="44" t="s">
        <v>715</v>
      </c>
      <c r="C37" s="44" t="s">
        <v>189</v>
      </c>
      <c r="D37" s="44" t="n">
        <v>43309</v>
      </c>
      <c r="E37" s="44" t="n">
        <v>43329</v>
      </c>
      <c r="F37" s="40" t="n">
        <v>616</v>
      </c>
      <c r="G37" s="40" t="s">
        <v>24</v>
      </c>
      <c r="H37" s="42" t="n">
        <v>8</v>
      </c>
      <c r="I37" s="37"/>
      <c r="J37" s="42"/>
      <c r="K37" s="42" t="n">
        <v>1993</v>
      </c>
    </row>
    <row r="38" customFormat="false" ht="12" hidden="false" customHeight="true" outlineLevel="0" collapsed="false">
      <c r="A38" s="53" t="s">
        <v>716</v>
      </c>
      <c r="B38" s="44" t="s">
        <v>653</v>
      </c>
      <c r="C38" s="44" t="s">
        <v>189</v>
      </c>
      <c r="D38" s="44" t="n">
        <v>43329</v>
      </c>
      <c r="E38" s="44" t="n">
        <v>43361</v>
      </c>
      <c r="F38" s="40" t="n">
        <v>880</v>
      </c>
      <c r="G38" s="40" t="s">
        <v>58</v>
      </c>
      <c r="H38" s="42" t="n">
        <v>9</v>
      </c>
      <c r="I38" s="37"/>
      <c r="J38" s="42"/>
      <c r="K38" s="42" t="n">
        <v>2008</v>
      </c>
    </row>
    <row r="39" customFormat="false" ht="12" hidden="false" customHeight="true" outlineLevel="0" collapsed="false">
      <c r="A39" s="53" t="s">
        <v>717</v>
      </c>
      <c r="B39" s="44" t="s">
        <v>718</v>
      </c>
      <c r="C39" s="44" t="s">
        <v>684</v>
      </c>
      <c r="D39" s="44" t="n">
        <v>43354</v>
      </c>
      <c r="E39" s="44" t="n">
        <v>43371</v>
      </c>
      <c r="F39" s="40" t="n">
        <v>226</v>
      </c>
      <c r="G39" s="40" t="s">
        <v>560</v>
      </c>
      <c r="H39" s="42" t="n">
        <v>7</v>
      </c>
      <c r="I39" s="37"/>
      <c r="J39" s="42"/>
      <c r="K39" s="42" t="n">
        <v>2018</v>
      </c>
    </row>
    <row r="40" customFormat="false" ht="12" hidden="false" customHeight="true" outlineLevel="0" collapsed="false">
      <c r="A40" s="53" t="s">
        <v>719</v>
      </c>
      <c r="B40" s="44" t="s">
        <v>703</v>
      </c>
      <c r="C40" s="44" t="s">
        <v>189</v>
      </c>
      <c r="D40" s="44" t="n">
        <v>43362</v>
      </c>
      <c r="E40" s="44" t="n">
        <v>43401</v>
      </c>
      <c r="F40" s="40" t="n">
        <v>600</v>
      </c>
      <c r="G40" s="40" t="s">
        <v>10</v>
      </c>
      <c r="H40" s="42" t="n">
        <v>8</v>
      </c>
      <c r="I40" s="37"/>
      <c r="J40" s="42"/>
      <c r="K40" s="42" t="n">
        <v>2008</v>
      </c>
    </row>
    <row r="41" customFormat="false" ht="12" hidden="false" customHeight="true" outlineLevel="0" collapsed="false">
      <c r="A41" s="53" t="s">
        <v>720</v>
      </c>
      <c r="B41" s="44" t="s">
        <v>721</v>
      </c>
      <c r="C41" s="44" t="s">
        <v>189</v>
      </c>
      <c r="D41" s="44" t="n">
        <v>43401</v>
      </c>
      <c r="E41" s="44" t="n">
        <v>43412</v>
      </c>
      <c r="F41" s="40" t="n">
        <v>296</v>
      </c>
      <c r="G41" s="40" t="s">
        <v>10</v>
      </c>
      <c r="H41" s="42" t="n">
        <v>9</v>
      </c>
      <c r="I41" s="37"/>
      <c r="J41" s="42"/>
      <c r="K41" s="42" t="n">
        <v>2014</v>
      </c>
    </row>
    <row r="42" customFormat="false" ht="12" hidden="false" customHeight="true" outlineLevel="0" collapsed="false">
      <c r="A42" s="53" t="s">
        <v>722</v>
      </c>
      <c r="B42" s="44" t="s">
        <v>723</v>
      </c>
      <c r="C42" s="44" t="s">
        <v>189</v>
      </c>
      <c r="D42" s="44" t="n">
        <v>43412</v>
      </c>
      <c r="E42" s="44" t="n">
        <v>43435</v>
      </c>
      <c r="F42" s="40" t="n">
        <v>688</v>
      </c>
      <c r="G42" s="40" t="s">
        <v>10</v>
      </c>
      <c r="H42" s="42" t="n">
        <v>9</v>
      </c>
      <c r="I42" s="37"/>
      <c r="J42" s="42"/>
      <c r="K42" s="42" t="n">
        <v>2006</v>
      </c>
    </row>
    <row r="43" customFormat="false" ht="12" hidden="false" customHeight="true" outlineLevel="0" collapsed="false">
      <c r="A43" s="53" t="s">
        <v>724</v>
      </c>
      <c r="B43" s="44" t="s">
        <v>723</v>
      </c>
      <c r="C43" s="44" t="s">
        <v>189</v>
      </c>
      <c r="D43" s="44" t="n">
        <v>43435</v>
      </c>
      <c r="E43" s="44" t="n">
        <v>43465</v>
      </c>
      <c r="F43" s="40" t="n">
        <v>800</v>
      </c>
      <c r="G43" s="40" t="s">
        <v>10</v>
      </c>
      <c r="H43" s="42" t="n">
        <v>9</v>
      </c>
      <c r="I43" s="37"/>
      <c r="J43" s="42"/>
      <c r="K43" s="42" t="n">
        <v>2007</v>
      </c>
    </row>
    <row r="44" customFormat="false" ht="12" hidden="false" customHeight="true" outlineLevel="0" collapsed="false">
      <c r="F44" s="32" t="n">
        <f aca="false">SUMIFS(F2:F43,E2:E43,"&gt;0")</f>
        <v>11755</v>
      </c>
      <c r="G44" s="33"/>
      <c r="H44" s="34" t="n">
        <f aca="false">GEOMEAN(H2:H43)</f>
        <v>7.78936700895499</v>
      </c>
      <c r="I44" s="37" t="e">
        <f aca="false">NA()</f>
        <v>#N/A</v>
      </c>
      <c r="J44" s="37" t="e">
        <f aca="false">NA()</f>
        <v>#N/A</v>
      </c>
      <c r="K44" s="34"/>
    </row>
    <row r="45" customFormat="false" ht="12" hidden="false" customHeight="true" outlineLevel="0" collapsed="false">
      <c r="A45" s="24" t="s">
        <v>275</v>
      </c>
      <c r="I45" s="37" t="e">
        <f aca="false">NA()</f>
        <v>#N/A</v>
      </c>
      <c r="J45" s="37" t="e">
        <f aca="false">NA()</f>
        <v>#N/A</v>
      </c>
    </row>
    <row r="46" customFormat="false" ht="24" hidden="false" customHeight="true" outlineLevel="0" collapsed="false">
      <c r="A46" s="6" t="s">
        <v>277</v>
      </c>
      <c r="B46" s="6" t="s">
        <v>278</v>
      </c>
      <c r="C46" s="6" t="s">
        <v>279</v>
      </c>
      <c r="D46" s="6" t="s">
        <v>280</v>
      </c>
      <c r="I46" s="37" t="e">
        <f aca="false">NA()</f>
        <v>#N/A</v>
      </c>
      <c r="J46" s="37" t="e">
        <f aca="false">NA()</f>
        <v>#N/A</v>
      </c>
    </row>
    <row r="47" customFormat="false" ht="12" hidden="false" customHeight="true" outlineLevel="0" collapsed="false">
      <c r="A47" s="6" t="n">
        <f aca="false">COUNTIF(E2:E43,"&gt;0")</f>
        <v>29</v>
      </c>
      <c r="B47" s="6" t="n">
        <f aca="false">ROUND(F44/A47,0)</f>
        <v>405</v>
      </c>
      <c r="C47" s="6" t="e">
        <f aca="false">INDEX(J2:J71,MATCH(MAX(I2:I71),I2:I71,0),1)</f>
        <v>#N/A</v>
      </c>
      <c r="D47" s="6"/>
      <c r="I47" s="37" t="e">
        <f aca="false">NA()</f>
        <v>#N/A</v>
      </c>
      <c r="J47" s="37" t="e">
        <f aca="false">NA()</f>
        <v>#N/A</v>
      </c>
    </row>
    <row r="48" customFormat="false" ht="12" hidden="false" customHeight="true" outlineLevel="0" collapsed="false">
      <c r="I48" s="37" t="e">
        <f aca="false">NA()</f>
        <v>#N/A</v>
      </c>
      <c r="J48" s="37" t="e">
        <f aca="false">NA()</f>
        <v>#N/A</v>
      </c>
    </row>
    <row r="49" customFormat="false" ht="12" hidden="false" customHeight="true" outlineLevel="0" collapsed="false">
      <c r="I49" s="37" t="e">
        <f aca="false">NA()</f>
        <v>#N/A</v>
      </c>
      <c r="J49" s="37" t="e">
        <f aca="false">NA()</f>
        <v>#N/A</v>
      </c>
    </row>
    <row r="50" customFormat="false" ht="12" hidden="false" customHeight="true" outlineLevel="0" collapsed="false">
      <c r="I50" s="37" t="e">
        <f aca="false">NA()</f>
        <v>#N/A</v>
      </c>
      <c r="J50" s="37" t="e">
        <f aca="false">NA()</f>
        <v>#N/A</v>
      </c>
    </row>
    <row r="51" customFormat="false" ht="12" hidden="false" customHeight="true" outlineLevel="0" collapsed="false">
      <c r="A51" s="6" t="s">
        <v>323</v>
      </c>
      <c r="B51" s="6" t="s">
        <v>324</v>
      </c>
      <c r="C51" s="16" t="s">
        <v>189</v>
      </c>
      <c r="D51" s="22" t="n">
        <v>40702</v>
      </c>
      <c r="E51" s="22" t="n">
        <v>40721</v>
      </c>
      <c r="F51" s="16" t="n">
        <v>672</v>
      </c>
      <c r="G51" s="16" t="s">
        <v>58</v>
      </c>
      <c r="H51" s="13" t="n">
        <v>6.5</v>
      </c>
      <c r="I51" s="37" t="e">
        <f aca="false">NA()</f>
        <v>#N/A</v>
      </c>
      <c r="J51" s="37" t="str">
        <f aca="false">B51</f>
        <v>Rick Atkinson</v>
      </c>
    </row>
    <row r="52" customFormat="false" ht="12" hidden="false" customHeight="true" outlineLevel="0" collapsed="false">
      <c r="I52" s="37" t="e">
        <f aca="false">NA()</f>
        <v>#N/A</v>
      </c>
      <c r="J52" s="37" t="e">
        <f aca="false">NA()</f>
        <v>#N/A</v>
      </c>
    </row>
    <row r="53" customFormat="false" ht="12" hidden="false" customHeight="true" outlineLevel="0" collapsed="false">
      <c r="I53" s="37" t="e">
        <f aca="false">NA()</f>
        <v>#N/A</v>
      </c>
      <c r="J53" s="37" t="e">
        <f aca="false">NA()</f>
        <v>#N/A</v>
      </c>
    </row>
    <row r="54" customFormat="false" ht="12" hidden="false" customHeight="true" outlineLevel="0" collapsed="false">
      <c r="I54" s="37" t="e">
        <f aca="false">NA()</f>
        <v>#N/A</v>
      </c>
      <c r="J54" s="37" t="e">
        <f aca="false">NA()</f>
        <v>#N/A</v>
      </c>
    </row>
    <row r="55" customFormat="false" ht="12" hidden="false" customHeight="true" outlineLevel="0" collapsed="false">
      <c r="I55" s="37" t="e">
        <f aca="false">NA()</f>
        <v>#N/A</v>
      </c>
      <c r="J55" s="37" t="e">
        <f aca="false">NA()</f>
        <v>#N/A</v>
      </c>
    </row>
    <row r="56" customFormat="false" ht="12" hidden="false" customHeight="true" outlineLevel="0" collapsed="false">
      <c r="I56" s="37" t="e">
        <f aca="false">NA()</f>
        <v>#N/A</v>
      </c>
      <c r="J56" s="37" t="e">
        <f aca="false">NA()</f>
        <v>#N/A</v>
      </c>
    </row>
    <row r="57" customFormat="false" ht="12" hidden="false" customHeight="true" outlineLevel="0" collapsed="false">
      <c r="I57" s="37" t="e">
        <f aca="false">NA()</f>
        <v>#N/A</v>
      </c>
      <c r="J57" s="37" t="e">
        <f aca="false">NA()</f>
        <v>#N/A</v>
      </c>
    </row>
    <row r="58" customFormat="false" ht="12" hidden="false" customHeight="true" outlineLevel="0" collapsed="false">
      <c r="I58" s="37" t="e">
        <f aca="false">NA()</f>
        <v>#N/A</v>
      </c>
      <c r="J58" s="37" t="e">
        <f aca="false">NA()</f>
        <v>#N/A</v>
      </c>
    </row>
    <row r="59" customFormat="false" ht="12" hidden="false" customHeight="true" outlineLevel="0" collapsed="false">
      <c r="I59" s="37" t="e">
        <f aca="false">NA()</f>
        <v>#N/A</v>
      </c>
      <c r="J59" s="37" t="e">
        <f aca="false">NA()</f>
        <v>#N/A</v>
      </c>
    </row>
    <row r="60" customFormat="false" ht="12" hidden="false" customHeight="true" outlineLevel="0" collapsed="false">
      <c r="I60" s="37" t="e">
        <f aca="false">NA()</f>
        <v>#N/A</v>
      </c>
      <c r="J60" s="37" t="e">
        <f aca="false">NA()</f>
        <v>#N/A</v>
      </c>
    </row>
    <row r="61" customFormat="false" ht="12" hidden="false" customHeight="true" outlineLevel="0" collapsed="false">
      <c r="I61" s="37" t="e">
        <f aca="false">NA()</f>
        <v>#N/A</v>
      </c>
      <c r="J61" s="37" t="e">
        <f aca="false">NA()</f>
        <v>#N/A</v>
      </c>
    </row>
    <row r="62" customFormat="false" ht="12" hidden="false" customHeight="true" outlineLevel="0" collapsed="false">
      <c r="I62" s="37" t="e">
        <f aca="false">NA()</f>
        <v>#N/A</v>
      </c>
      <c r="J62" s="37" t="e">
        <f aca="false">NA()</f>
        <v>#N/A</v>
      </c>
    </row>
    <row r="63" customFormat="false" ht="12" hidden="false" customHeight="true" outlineLevel="0" collapsed="false">
      <c r="I63" s="37" t="e">
        <f aca="false">NA()</f>
        <v>#N/A</v>
      </c>
      <c r="J63" s="37" t="e">
        <f aca="false">NA()</f>
        <v>#N/A</v>
      </c>
    </row>
    <row r="64" customFormat="false" ht="12" hidden="false" customHeight="true" outlineLevel="0" collapsed="false">
      <c r="I64" s="37" t="e">
        <f aca="false">NA()</f>
        <v>#N/A</v>
      </c>
      <c r="J64" s="37" t="e">
        <f aca="false">NA()</f>
        <v>#N/A</v>
      </c>
    </row>
    <row r="65" customFormat="false" ht="12" hidden="false" customHeight="true" outlineLevel="0" collapsed="false">
      <c r="I65" s="37" t="e">
        <f aca="false">NA()</f>
        <v>#N/A</v>
      </c>
      <c r="J65" s="37" t="e">
        <f aca="false">NA()</f>
        <v>#N/A</v>
      </c>
    </row>
    <row r="66" customFormat="false" ht="12" hidden="false" customHeight="true" outlineLevel="0" collapsed="false">
      <c r="I66" s="37" t="e">
        <f aca="false">NA()</f>
        <v>#N/A</v>
      </c>
      <c r="J66" s="37" t="e">
        <f aca="false">NA()</f>
        <v>#N/A</v>
      </c>
    </row>
    <row r="67" customFormat="false" ht="12" hidden="false" customHeight="true" outlineLevel="0" collapsed="false">
      <c r="I67" s="37" t="e">
        <f aca="false">NA()</f>
        <v>#N/A</v>
      </c>
      <c r="J67" s="37" t="e">
        <f aca="false">NA()</f>
        <v>#N/A</v>
      </c>
    </row>
    <row r="68" customFormat="false" ht="12" hidden="false" customHeight="true" outlineLevel="0" collapsed="false">
      <c r="I68" s="37" t="e">
        <f aca="false">NA()</f>
        <v>#N/A</v>
      </c>
      <c r="J68" s="37" t="e">
        <f aca="false">NA()</f>
        <v>#N/A</v>
      </c>
    </row>
    <row r="69" customFormat="false" ht="12" hidden="false" customHeight="true" outlineLevel="0" collapsed="false">
      <c r="I69" s="37" t="e">
        <f aca="false">NA()</f>
        <v>#N/A</v>
      </c>
      <c r="J69" s="37" t="e">
        <f aca="false">NA()</f>
        <v>#N/A</v>
      </c>
    </row>
    <row r="70" customFormat="false" ht="12" hidden="false" customHeight="true" outlineLevel="0" collapsed="false">
      <c r="I70" s="37" t="e">
        <f aca="false">NA()</f>
        <v>#N/A</v>
      </c>
      <c r="J70" s="37" t="e">
        <f aca="false">NA()</f>
        <v>#N/A</v>
      </c>
    </row>
    <row r="71" customFormat="false" ht="12" hidden="false" customHeight="true" outlineLevel="0" collapsed="false">
      <c r="I71" s="37" t="e">
        <f aca="false">NA()</f>
        <v>#N/A</v>
      </c>
      <c r="J71" s="37" t="e">
        <f aca="false">NA()</f>
        <v>#N/A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4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11" activeCellId="0" sqref="B11"/>
    </sheetView>
  </sheetViews>
  <sheetFormatPr defaultColWidth="10.5" defaultRowHeight="12" zeroHeight="false" outlineLevelRow="0" outlineLevelCol="0"/>
  <cols>
    <col collapsed="false" customWidth="true" hidden="false" outlineLevel="0" max="1" min="1" style="0" width="41.49"/>
    <col collapsed="false" customWidth="true" hidden="false" outlineLevel="0" max="2" min="2" style="0" width="21.5"/>
    <col collapsed="false" customWidth="true" hidden="false" outlineLevel="0" max="3" min="3" style="0" width="9.49"/>
    <col collapsed="false" customWidth="true" hidden="false" outlineLevel="0" max="6" min="6" style="0" width="11.5"/>
    <col collapsed="false" customWidth="true" hidden="false" outlineLevel="0" max="8" min="8" style="0" width="22.49"/>
    <col collapsed="false" customWidth="false" hidden="true" outlineLevel="0" max="10" min="9" style="0" width="10.5"/>
    <col collapsed="false" customWidth="true" hidden="false" outlineLevel="0" max="11" min="11" style="0" width="22.49"/>
  </cols>
  <sheetData>
    <row r="1" s="6" customFormat="true" ht="12.75" hidden="false" customHeight="true" outlineLevel="0" collapsed="false">
      <c r="A1" s="24" t="s">
        <v>0</v>
      </c>
      <c r="B1" s="25" t="s">
        <v>1</v>
      </c>
      <c r="C1" s="25" t="s">
        <v>2</v>
      </c>
      <c r="D1" s="26" t="s">
        <v>3</v>
      </c>
      <c r="E1" s="27" t="s">
        <v>4</v>
      </c>
      <c r="F1" s="26" t="s">
        <v>5</v>
      </c>
      <c r="G1" s="27" t="s">
        <v>6</v>
      </c>
      <c r="H1" s="28" t="s">
        <v>7</v>
      </c>
      <c r="I1" s="35" t="s">
        <v>281</v>
      </c>
      <c r="J1" s="36" t="s">
        <v>1</v>
      </c>
      <c r="K1" s="28" t="s">
        <v>513</v>
      </c>
    </row>
    <row r="2" customFormat="false" ht="12" hidden="false" customHeight="true" outlineLevel="0" collapsed="false">
      <c r="A2" s="49" t="s">
        <v>725</v>
      </c>
      <c r="B2" s="49" t="s">
        <v>426</v>
      </c>
      <c r="C2" s="49" t="s">
        <v>189</v>
      </c>
      <c r="D2" s="49" t="n">
        <v>43318</v>
      </c>
      <c r="E2" s="49"/>
      <c r="F2" s="52" t="n">
        <v>304</v>
      </c>
      <c r="G2" s="52" t="s">
        <v>10</v>
      </c>
      <c r="H2" s="51"/>
      <c r="I2" s="37"/>
      <c r="J2" s="37"/>
      <c r="K2" s="51" t="n">
        <v>1969</v>
      </c>
    </row>
    <row r="3" customFormat="false" ht="12" hidden="false" customHeight="true" outlineLevel="0" collapsed="false">
      <c r="A3" s="49" t="s">
        <v>726</v>
      </c>
      <c r="B3" s="49" t="s">
        <v>727</v>
      </c>
      <c r="C3" s="49" t="s">
        <v>70</v>
      </c>
      <c r="D3" s="49" t="n">
        <v>43372</v>
      </c>
      <c r="E3" s="49"/>
      <c r="F3" s="52" t="n">
        <v>472</v>
      </c>
      <c r="G3" s="52" t="s">
        <v>10</v>
      </c>
      <c r="H3" s="51"/>
      <c r="I3" s="37"/>
      <c r="J3" s="37"/>
      <c r="K3" s="51" t="n">
        <v>2016</v>
      </c>
    </row>
    <row r="4" customFormat="false" ht="12" hidden="false" customHeight="true" outlineLevel="0" collapsed="false">
      <c r="A4" s="54" t="s">
        <v>728</v>
      </c>
      <c r="B4" s="54" t="s">
        <v>703</v>
      </c>
      <c r="C4" s="54" t="s">
        <v>189</v>
      </c>
      <c r="D4" s="54" t="n">
        <v>43466</v>
      </c>
      <c r="E4" s="54" t="n">
        <v>43490</v>
      </c>
      <c r="F4" s="55" t="n">
        <v>736</v>
      </c>
      <c r="G4" s="55" t="s">
        <v>10</v>
      </c>
      <c r="H4" s="56" t="n">
        <v>8</v>
      </c>
      <c r="I4" s="55"/>
      <c r="J4" s="55"/>
      <c r="K4" s="56" t="n">
        <v>2008</v>
      </c>
    </row>
    <row r="5" customFormat="false" ht="12" hidden="false" customHeight="true" outlineLevel="0" collapsed="false">
      <c r="A5" s="54" t="s">
        <v>729</v>
      </c>
      <c r="B5" s="54" t="s">
        <v>730</v>
      </c>
      <c r="C5" s="54" t="s">
        <v>684</v>
      </c>
      <c r="D5" s="54" t="n">
        <v>43469</v>
      </c>
      <c r="E5" s="54" t="n">
        <v>43585</v>
      </c>
      <c r="F5" s="55" t="n">
        <v>480</v>
      </c>
      <c r="G5" s="55" t="s">
        <v>731</v>
      </c>
      <c r="H5" s="56" t="n">
        <v>8</v>
      </c>
      <c r="I5" s="55"/>
      <c r="J5" s="55"/>
      <c r="K5" s="56" t="n">
        <v>2018</v>
      </c>
    </row>
    <row r="6" customFormat="false" ht="12" hidden="false" customHeight="true" outlineLevel="0" collapsed="false">
      <c r="A6" s="54" t="s">
        <v>732</v>
      </c>
      <c r="B6" s="54" t="s">
        <v>633</v>
      </c>
      <c r="C6" s="54" t="s">
        <v>189</v>
      </c>
      <c r="D6" s="54" t="n">
        <v>43490</v>
      </c>
      <c r="E6" s="54" t="n">
        <v>43574</v>
      </c>
      <c r="F6" s="55" t="n">
        <v>560</v>
      </c>
      <c r="G6" s="55" t="s">
        <v>10</v>
      </c>
      <c r="H6" s="56" t="n">
        <v>8</v>
      </c>
      <c r="I6" s="55"/>
      <c r="J6" s="55"/>
      <c r="K6" s="56" t="n">
        <v>1994</v>
      </c>
    </row>
    <row r="7" customFormat="false" ht="12" hidden="false" customHeight="true" outlineLevel="0" collapsed="false">
      <c r="A7" s="54" t="s">
        <v>733</v>
      </c>
      <c r="B7" s="54" t="s">
        <v>734</v>
      </c>
      <c r="C7" s="54" t="s">
        <v>70</v>
      </c>
      <c r="D7" s="54" t="n">
        <v>43497</v>
      </c>
      <c r="E7" s="54" t="n">
        <v>43532</v>
      </c>
      <c r="F7" s="55" t="n">
        <v>336</v>
      </c>
      <c r="G7" s="55" t="s">
        <v>735</v>
      </c>
      <c r="H7" s="56" t="n">
        <v>8</v>
      </c>
      <c r="I7" s="55"/>
      <c r="J7" s="55"/>
      <c r="K7" s="56" t="n">
        <v>1152</v>
      </c>
    </row>
    <row r="8" customFormat="false" ht="12" hidden="false" customHeight="true" outlineLevel="0" collapsed="false">
      <c r="A8" s="54" t="s">
        <v>736</v>
      </c>
      <c r="B8" s="54" t="s">
        <v>737</v>
      </c>
      <c r="C8" s="54" t="s">
        <v>189</v>
      </c>
      <c r="D8" s="54" t="n">
        <v>43575</v>
      </c>
      <c r="E8" s="54" t="n">
        <v>43609</v>
      </c>
      <c r="F8" s="55" t="n">
        <v>512</v>
      </c>
      <c r="G8" s="55" t="s">
        <v>10</v>
      </c>
      <c r="H8" s="56" t="n">
        <v>9</v>
      </c>
      <c r="I8" s="55"/>
      <c r="J8" s="55"/>
      <c r="K8" s="56" t="n">
        <v>2001</v>
      </c>
    </row>
    <row r="9" customFormat="false" ht="12" hidden="false" customHeight="true" outlineLevel="0" collapsed="false">
      <c r="A9" s="54" t="s">
        <v>738</v>
      </c>
      <c r="B9" s="54" t="s">
        <v>739</v>
      </c>
      <c r="C9" s="54" t="s">
        <v>684</v>
      </c>
      <c r="D9" s="54" t="n">
        <v>43590</v>
      </c>
      <c r="E9" s="54" t="n">
        <v>43600</v>
      </c>
      <c r="F9" s="55" t="n">
        <v>400</v>
      </c>
      <c r="G9" s="55" t="s">
        <v>560</v>
      </c>
      <c r="H9" s="56" t="n">
        <v>8</v>
      </c>
      <c r="I9" s="55"/>
      <c r="J9" s="55"/>
      <c r="K9" s="56" t="n">
        <v>2018</v>
      </c>
    </row>
    <row r="10" customFormat="false" ht="12" hidden="false" customHeight="true" outlineLevel="0" collapsed="false">
      <c r="A10" s="54" t="s">
        <v>740</v>
      </c>
      <c r="B10" s="54" t="s">
        <v>741</v>
      </c>
      <c r="C10" s="54" t="s">
        <v>684</v>
      </c>
      <c r="D10" s="54" t="n">
        <v>43601</v>
      </c>
      <c r="E10" s="54" t="n">
        <v>43737</v>
      </c>
      <c r="F10" s="55" t="n">
        <v>721</v>
      </c>
      <c r="G10" s="55" t="s">
        <v>10</v>
      </c>
      <c r="H10" s="56" t="n">
        <v>8</v>
      </c>
      <c r="I10" s="55"/>
      <c r="J10" s="55"/>
      <c r="K10" s="56" t="n">
        <v>1948</v>
      </c>
    </row>
    <row r="11" customFormat="false" ht="12" hidden="false" customHeight="true" outlineLevel="0" collapsed="false">
      <c r="A11" s="54" t="s">
        <v>742</v>
      </c>
      <c r="B11" s="54" t="s">
        <v>743</v>
      </c>
      <c r="C11" s="54" t="s">
        <v>189</v>
      </c>
      <c r="D11" s="54" t="n">
        <v>43609</v>
      </c>
      <c r="E11" s="54" t="n">
        <v>43623</v>
      </c>
      <c r="F11" s="55" t="n">
        <v>352</v>
      </c>
      <c r="G11" s="55" t="s">
        <v>10</v>
      </c>
      <c r="H11" s="56" t="n">
        <v>8.7</v>
      </c>
      <c r="I11" s="55"/>
      <c r="J11" s="55"/>
      <c r="K11" s="56" t="n">
        <v>1990</v>
      </c>
    </row>
    <row r="12" customFormat="false" ht="12" hidden="false" customHeight="true" outlineLevel="0" collapsed="false">
      <c r="A12" s="54" t="s">
        <v>744</v>
      </c>
      <c r="B12" s="54" t="s">
        <v>737</v>
      </c>
      <c r="C12" s="54" t="s">
        <v>189</v>
      </c>
      <c r="D12" s="54" t="n">
        <v>43623</v>
      </c>
      <c r="E12" s="54" t="n">
        <v>43637</v>
      </c>
      <c r="F12" s="55" t="n">
        <v>416</v>
      </c>
      <c r="G12" s="55" t="s">
        <v>10</v>
      </c>
      <c r="H12" s="56" t="n">
        <v>8.5</v>
      </c>
      <c r="I12" s="55"/>
      <c r="J12" s="55"/>
      <c r="K12" s="56" t="n">
        <v>2007</v>
      </c>
    </row>
    <row r="13" customFormat="false" ht="12" hidden="false" customHeight="true" outlineLevel="0" collapsed="false">
      <c r="A13" s="54" t="s">
        <v>745</v>
      </c>
      <c r="B13" s="54" t="s">
        <v>737</v>
      </c>
      <c r="C13" s="54" t="s">
        <v>189</v>
      </c>
      <c r="D13" s="54" t="n">
        <v>43637</v>
      </c>
      <c r="E13" s="54" t="n">
        <v>43666</v>
      </c>
      <c r="F13" s="55" t="n">
        <v>608</v>
      </c>
      <c r="G13" s="55" t="s">
        <v>10</v>
      </c>
      <c r="H13" s="56" t="n">
        <v>8</v>
      </c>
      <c r="I13" s="55"/>
      <c r="J13" s="55"/>
      <c r="K13" s="56" t="n">
        <v>2002</v>
      </c>
    </row>
    <row r="14" customFormat="false" ht="12" hidden="false" customHeight="true" outlineLevel="0" collapsed="false">
      <c r="A14" s="54" t="s">
        <v>746</v>
      </c>
      <c r="B14" s="54" t="s">
        <v>747</v>
      </c>
      <c r="C14" s="54" t="s">
        <v>189</v>
      </c>
      <c r="D14" s="54" t="n">
        <v>43666</v>
      </c>
      <c r="E14" s="54" t="n">
        <v>43694</v>
      </c>
      <c r="F14" s="55" t="n">
        <v>448</v>
      </c>
      <c r="G14" s="55" t="s">
        <v>10</v>
      </c>
      <c r="H14" s="56" t="n">
        <v>8</v>
      </c>
      <c r="I14" s="55"/>
      <c r="J14" s="55"/>
      <c r="K14" s="56" t="n">
        <v>2015</v>
      </c>
    </row>
    <row r="15" customFormat="false" ht="12" hidden="false" customHeight="true" outlineLevel="0" collapsed="false">
      <c r="A15" s="54" t="s">
        <v>748</v>
      </c>
      <c r="B15" s="54" t="s">
        <v>749</v>
      </c>
      <c r="C15" s="54" t="s">
        <v>684</v>
      </c>
      <c r="D15" s="54" t="n">
        <v>43673</v>
      </c>
      <c r="E15" s="54" t="n">
        <v>43673</v>
      </c>
      <c r="F15" s="55" t="n">
        <v>200</v>
      </c>
      <c r="G15" s="55" t="s">
        <v>172</v>
      </c>
      <c r="H15" s="56" t="n">
        <v>8</v>
      </c>
      <c r="I15" s="55"/>
      <c r="J15" s="55"/>
      <c r="K15" s="56" t="n">
        <v>2013</v>
      </c>
    </row>
    <row r="16" customFormat="false" ht="12" hidden="false" customHeight="true" outlineLevel="0" collapsed="false">
      <c r="A16" s="54" t="s">
        <v>750</v>
      </c>
      <c r="B16" s="54" t="s">
        <v>633</v>
      </c>
      <c r="C16" s="54" t="s">
        <v>189</v>
      </c>
      <c r="D16" s="54" t="n">
        <v>43694</v>
      </c>
      <c r="E16" s="54" t="n">
        <v>43749</v>
      </c>
      <c r="F16" s="55" t="n">
        <v>720</v>
      </c>
      <c r="G16" s="55" t="s">
        <v>10</v>
      </c>
      <c r="H16" s="56" t="n">
        <v>7</v>
      </c>
      <c r="I16" s="55"/>
      <c r="J16" s="55"/>
      <c r="K16" s="56" t="n">
        <v>1996</v>
      </c>
    </row>
    <row r="17" customFormat="false" ht="12" hidden="false" customHeight="true" outlineLevel="0" collapsed="false">
      <c r="A17" s="54" t="s">
        <v>751</v>
      </c>
      <c r="B17" s="54" t="s">
        <v>752</v>
      </c>
      <c r="C17" s="54" t="s">
        <v>684</v>
      </c>
      <c r="D17" s="54" t="n">
        <v>43716</v>
      </c>
      <c r="E17" s="54" t="n">
        <v>43763</v>
      </c>
      <c r="F17" s="55" t="n">
        <v>880</v>
      </c>
      <c r="G17" s="55" t="s">
        <v>106</v>
      </c>
      <c r="H17" s="56" t="n">
        <v>9.5</v>
      </c>
      <c r="I17" s="55"/>
      <c r="J17" s="55"/>
      <c r="K17" s="56" t="n">
        <v>1979</v>
      </c>
    </row>
    <row r="18" customFormat="false" ht="12" hidden="false" customHeight="true" outlineLevel="0" collapsed="false">
      <c r="A18" s="54" t="s">
        <v>753</v>
      </c>
      <c r="B18" s="54" t="s">
        <v>633</v>
      </c>
      <c r="C18" s="54" t="s">
        <v>189</v>
      </c>
      <c r="D18" s="54" t="n">
        <v>43750</v>
      </c>
      <c r="E18" s="54" t="n">
        <v>43779</v>
      </c>
      <c r="F18" s="55" t="n">
        <v>544</v>
      </c>
      <c r="G18" s="55" t="s">
        <v>10</v>
      </c>
      <c r="H18" s="56" t="n">
        <v>8.7</v>
      </c>
      <c r="I18" s="55"/>
      <c r="J18" s="55"/>
      <c r="K18" s="56" t="n">
        <v>1998</v>
      </c>
    </row>
    <row r="19" customFormat="false" ht="12" hidden="false" customHeight="true" outlineLevel="0" collapsed="false">
      <c r="A19" s="54" t="s">
        <v>754</v>
      </c>
      <c r="B19" s="54" t="s">
        <v>522</v>
      </c>
      <c r="C19" s="54" t="s">
        <v>684</v>
      </c>
      <c r="D19" s="54" t="n">
        <v>43764</v>
      </c>
      <c r="E19" s="54" t="n">
        <v>43780</v>
      </c>
      <c r="F19" s="55" t="n">
        <v>376</v>
      </c>
      <c r="G19" s="55" t="s">
        <v>24</v>
      </c>
      <c r="H19" s="56" t="n">
        <v>9</v>
      </c>
      <c r="I19" s="55"/>
      <c r="J19" s="55"/>
      <c r="K19" s="56" t="n">
        <v>2018</v>
      </c>
    </row>
    <row r="20" customFormat="false" ht="12" hidden="false" customHeight="true" outlineLevel="0" collapsed="false">
      <c r="A20" s="54" t="s">
        <v>755</v>
      </c>
      <c r="B20" s="54" t="s">
        <v>756</v>
      </c>
      <c r="C20" s="54" t="s">
        <v>189</v>
      </c>
      <c r="D20" s="54" t="n">
        <v>43779</v>
      </c>
      <c r="E20" s="54" t="n">
        <v>43784</v>
      </c>
      <c r="F20" s="55" t="n">
        <v>224</v>
      </c>
      <c r="G20" s="55" t="s">
        <v>24</v>
      </c>
      <c r="H20" s="56" t="n">
        <v>9</v>
      </c>
      <c r="I20" s="55"/>
      <c r="J20" s="55"/>
      <c r="K20" s="56" t="n">
        <v>1947</v>
      </c>
    </row>
    <row r="21" customFormat="false" ht="12" hidden="false" customHeight="true" outlineLevel="0" collapsed="false">
      <c r="A21" s="54" t="s">
        <v>757</v>
      </c>
      <c r="B21" s="54" t="s">
        <v>758</v>
      </c>
      <c r="C21" s="54" t="s">
        <v>684</v>
      </c>
      <c r="D21" s="54" t="n">
        <v>43780</v>
      </c>
      <c r="E21" s="54" t="n">
        <v>43790</v>
      </c>
      <c r="F21" s="55" t="n">
        <v>250</v>
      </c>
      <c r="G21" s="55" t="s">
        <v>24</v>
      </c>
      <c r="H21" s="56" t="n">
        <v>5</v>
      </c>
      <c r="I21" s="55"/>
      <c r="J21" s="55"/>
      <c r="K21" s="56" t="n">
        <v>2018</v>
      </c>
    </row>
    <row r="22" customFormat="false" ht="12" hidden="false" customHeight="true" outlineLevel="0" collapsed="false">
      <c r="A22" s="54" t="s">
        <v>759</v>
      </c>
      <c r="B22" s="54" t="s">
        <v>675</v>
      </c>
      <c r="C22" s="54" t="s">
        <v>189</v>
      </c>
      <c r="D22" s="54" t="n">
        <v>43784</v>
      </c>
      <c r="E22" s="54" t="n">
        <v>43800</v>
      </c>
      <c r="F22" s="55" t="n">
        <v>507</v>
      </c>
      <c r="G22" s="55" t="s">
        <v>10</v>
      </c>
      <c r="H22" s="56" t="n">
        <v>8</v>
      </c>
      <c r="I22" s="55"/>
      <c r="J22" s="55"/>
      <c r="K22" s="56" t="n">
        <v>1995</v>
      </c>
    </row>
    <row r="23" customFormat="false" ht="12" hidden="false" customHeight="true" outlineLevel="0" collapsed="false">
      <c r="A23" s="49" t="s">
        <v>760</v>
      </c>
      <c r="B23" s="49" t="s">
        <v>761</v>
      </c>
      <c r="C23" s="49" t="s">
        <v>684</v>
      </c>
      <c r="D23" s="49" t="n">
        <v>43790</v>
      </c>
      <c r="E23" s="49"/>
      <c r="F23" s="52" t="n">
        <v>416</v>
      </c>
      <c r="G23" s="52" t="s">
        <v>10</v>
      </c>
      <c r="H23" s="51"/>
      <c r="I23" s="37"/>
      <c r="J23" s="37"/>
      <c r="K23" s="51" t="n">
        <v>2017</v>
      </c>
    </row>
    <row r="24" customFormat="false" ht="12" hidden="false" customHeight="true" outlineLevel="0" collapsed="false">
      <c r="A24" s="54" t="s">
        <v>762</v>
      </c>
      <c r="B24" s="54" t="s">
        <v>675</v>
      </c>
      <c r="C24" s="54" t="s">
        <v>189</v>
      </c>
      <c r="D24" s="54" t="n">
        <v>43800</v>
      </c>
      <c r="E24" s="54" t="n">
        <v>43806</v>
      </c>
      <c r="F24" s="55" t="n">
        <v>608</v>
      </c>
      <c r="G24" s="55" t="s">
        <v>10</v>
      </c>
      <c r="H24" s="56" t="n">
        <v>8</v>
      </c>
      <c r="I24" s="55"/>
      <c r="J24" s="55"/>
      <c r="K24" s="56" t="n">
        <v>1997</v>
      </c>
    </row>
    <row r="25" customFormat="false" ht="12" hidden="false" customHeight="true" outlineLevel="0" collapsed="false">
      <c r="A25" s="54" t="s">
        <v>763</v>
      </c>
      <c r="B25" s="54" t="s">
        <v>675</v>
      </c>
      <c r="C25" s="54" t="s">
        <v>189</v>
      </c>
      <c r="D25" s="54" t="n">
        <v>43806</v>
      </c>
      <c r="E25" s="54" t="n">
        <v>43814</v>
      </c>
      <c r="F25" s="55" t="n">
        <v>352</v>
      </c>
      <c r="G25" s="55" t="s">
        <v>10</v>
      </c>
      <c r="H25" s="56" t="n">
        <v>8</v>
      </c>
      <c r="I25" s="55"/>
      <c r="J25" s="55"/>
      <c r="K25" s="56" t="n">
        <v>1998</v>
      </c>
    </row>
    <row r="26" customFormat="false" ht="12" hidden="false" customHeight="true" outlineLevel="0" collapsed="false">
      <c r="A26" s="54" t="s">
        <v>764</v>
      </c>
      <c r="B26" s="54" t="s">
        <v>737</v>
      </c>
      <c r="C26" s="54" t="s">
        <v>189</v>
      </c>
      <c r="D26" s="54" t="n">
        <v>43814</v>
      </c>
      <c r="E26" s="54" t="n">
        <v>43830</v>
      </c>
      <c r="F26" s="55" t="n">
        <v>640</v>
      </c>
      <c r="G26" s="55" t="s">
        <v>10</v>
      </c>
      <c r="H26" s="56" t="n">
        <v>7</v>
      </c>
      <c r="I26" s="55"/>
      <c r="J26" s="55"/>
      <c r="K26" s="56" t="n">
        <v>2003</v>
      </c>
    </row>
    <row r="27" customFormat="false" ht="12" hidden="false" customHeight="true" outlineLevel="0" collapsed="false">
      <c r="F27" s="32" t="n">
        <f aca="false">SUMIFS(F2:F26,E2:E26,"&gt;0")</f>
        <v>10870</v>
      </c>
      <c r="G27" s="33"/>
      <c r="H27" s="34" t="n">
        <f aca="false">GEOMEAN(H4:H26)</f>
        <v>8.0060097249621</v>
      </c>
      <c r="I27" s="37" t="e">
        <f aca="false">NA()</f>
        <v>#N/A</v>
      </c>
      <c r="J27" s="37" t="e">
        <f aca="false">NA()</f>
        <v>#N/A</v>
      </c>
      <c r="K27" s="34"/>
    </row>
    <row r="28" customFormat="false" ht="12" hidden="false" customHeight="true" outlineLevel="0" collapsed="false">
      <c r="A28" s="24" t="s">
        <v>275</v>
      </c>
      <c r="I28" s="37" t="e">
        <f aca="false">NA()</f>
        <v>#N/A</v>
      </c>
      <c r="J28" s="37" t="e">
        <f aca="false">NA()</f>
        <v>#N/A</v>
      </c>
    </row>
    <row r="29" customFormat="false" ht="24" hidden="false" customHeight="true" outlineLevel="0" collapsed="false">
      <c r="A29" s="6" t="s">
        <v>277</v>
      </c>
      <c r="B29" s="6" t="s">
        <v>278</v>
      </c>
      <c r="C29" s="6" t="s">
        <v>279</v>
      </c>
      <c r="D29" s="6" t="s">
        <v>280</v>
      </c>
      <c r="I29" s="37" t="e">
        <f aca="false">NA()</f>
        <v>#N/A</v>
      </c>
      <c r="J29" s="37" t="e">
        <f aca="false">NA()</f>
        <v>#N/A</v>
      </c>
    </row>
    <row r="30" customFormat="false" ht="12" hidden="false" customHeight="true" outlineLevel="0" collapsed="false">
      <c r="A30" s="6" t="n">
        <f aca="false">COUNTIF(E2:E26,"&gt;0")</f>
        <v>22</v>
      </c>
      <c r="B30" s="6" t="n">
        <f aca="false">ROUND(F27/A30,0)</f>
        <v>494</v>
      </c>
      <c r="C30" s="6" t="e">
        <f aca="false">INDEX(J4:J54,MATCH(MAX(I4:I54),I4:I54,0),1)</f>
        <v>#N/A</v>
      </c>
      <c r="D30" s="6"/>
      <c r="I30" s="37" t="e">
        <f aca="false">NA()</f>
        <v>#N/A</v>
      </c>
      <c r="J30" s="37" t="e">
        <f aca="false">NA()</f>
        <v>#N/A</v>
      </c>
    </row>
    <row r="31" customFormat="false" ht="12" hidden="false" customHeight="true" outlineLevel="0" collapsed="false">
      <c r="I31" s="37" t="e">
        <f aca="false">NA()</f>
        <v>#N/A</v>
      </c>
      <c r="J31" s="37" t="e">
        <f aca="false">NA()</f>
        <v>#N/A</v>
      </c>
    </row>
    <row r="32" customFormat="false" ht="12" hidden="false" customHeight="true" outlineLevel="0" collapsed="false">
      <c r="I32" s="37" t="e">
        <f aca="false">NA()</f>
        <v>#N/A</v>
      </c>
      <c r="J32" s="37" t="e">
        <f aca="false">NA()</f>
        <v>#N/A</v>
      </c>
    </row>
    <row r="33" customFormat="false" ht="12" hidden="false" customHeight="true" outlineLevel="0" collapsed="false">
      <c r="I33" s="37" t="e">
        <f aca="false">NA()</f>
        <v>#N/A</v>
      </c>
      <c r="J33" s="37" t="e">
        <f aca="false">NA()</f>
        <v>#N/A</v>
      </c>
    </row>
    <row r="34" customFormat="false" ht="12" hidden="false" customHeight="true" outlineLevel="0" collapsed="false">
      <c r="A34" s="6" t="s">
        <v>323</v>
      </c>
      <c r="B34" s="6" t="s">
        <v>324</v>
      </c>
      <c r="C34" s="16" t="s">
        <v>189</v>
      </c>
      <c r="D34" s="22" t="n">
        <v>40702</v>
      </c>
      <c r="E34" s="22" t="n">
        <v>40721</v>
      </c>
      <c r="F34" s="16" t="n">
        <v>672</v>
      </c>
      <c r="G34" s="16" t="s">
        <v>58</v>
      </c>
      <c r="H34" s="13" t="n">
        <v>6.5</v>
      </c>
      <c r="I34" s="37" t="e">
        <f aca="false">NA()</f>
        <v>#N/A</v>
      </c>
      <c r="J34" s="37" t="str">
        <f aca="false">B34</f>
        <v>Rick Atkinson</v>
      </c>
    </row>
    <row r="35" customFormat="false" ht="12" hidden="false" customHeight="true" outlineLevel="0" collapsed="false">
      <c r="I35" s="37" t="e">
        <f aca="false">NA()</f>
        <v>#N/A</v>
      </c>
      <c r="J35" s="37" t="e">
        <f aca="false">NA()</f>
        <v>#N/A</v>
      </c>
    </row>
    <row r="36" customFormat="false" ht="12" hidden="false" customHeight="true" outlineLevel="0" collapsed="false">
      <c r="I36" s="37" t="e">
        <f aca="false">NA()</f>
        <v>#N/A</v>
      </c>
      <c r="J36" s="37" t="e">
        <f aca="false">NA()</f>
        <v>#N/A</v>
      </c>
    </row>
    <row r="37" customFormat="false" ht="12" hidden="false" customHeight="true" outlineLevel="0" collapsed="false">
      <c r="I37" s="37" t="e">
        <f aca="false">NA()</f>
        <v>#N/A</v>
      </c>
      <c r="J37" s="37" t="e">
        <f aca="false">NA()</f>
        <v>#N/A</v>
      </c>
    </row>
    <row r="38" customFormat="false" ht="12" hidden="false" customHeight="true" outlineLevel="0" collapsed="false">
      <c r="I38" s="37" t="e">
        <f aca="false">NA()</f>
        <v>#N/A</v>
      </c>
      <c r="J38" s="37" t="e">
        <f aca="false">NA()</f>
        <v>#N/A</v>
      </c>
    </row>
    <row r="39" customFormat="false" ht="12" hidden="false" customHeight="true" outlineLevel="0" collapsed="false">
      <c r="I39" s="37" t="e">
        <f aca="false">NA()</f>
        <v>#N/A</v>
      </c>
      <c r="J39" s="37" t="e">
        <f aca="false">NA()</f>
        <v>#N/A</v>
      </c>
    </row>
    <row r="40" customFormat="false" ht="12" hidden="false" customHeight="true" outlineLevel="0" collapsed="false">
      <c r="I40" s="37" t="e">
        <f aca="false">NA()</f>
        <v>#N/A</v>
      </c>
      <c r="J40" s="37" t="e">
        <f aca="false">NA()</f>
        <v>#N/A</v>
      </c>
    </row>
    <row r="41" customFormat="false" ht="12" hidden="false" customHeight="true" outlineLevel="0" collapsed="false">
      <c r="I41" s="37" t="e">
        <f aca="false">NA()</f>
        <v>#N/A</v>
      </c>
      <c r="J41" s="37" t="e">
        <f aca="false">NA()</f>
        <v>#N/A</v>
      </c>
    </row>
    <row r="42" customFormat="false" ht="12" hidden="false" customHeight="true" outlineLevel="0" collapsed="false">
      <c r="I42" s="37" t="e">
        <f aca="false">NA()</f>
        <v>#N/A</v>
      </c>
      <c r="J42" s="37" t="e">
        <f aca="false">NA()</f>
        <v>#N/A</v>
      </c>
    </row>
    <row r="43" customFormat="false" ht="12" hidden="false" customHeight="true" outlineLevel="0" collapsed="false">
      <c r="I43" s="37" t="e">
        <f aca="false">NA()</f>
        <v>#N/A</v>
      </c>
      <c r="J43" s="37" t="e">
        <f aca="false">NA()</f>
        <v>#N/A</v>
      </c>
    </row>
    <row r="44" customFormat="false" ht="12" hidden="false" customHeight="true" outlineLevel="0" collapsed="false">
      <c r="I44" s="37" t="e">
        <f aca="false">NA()</f>
        <v>#N/A</v>
      </c>
      <c r="J44" s="37" t="e">
        <f aca="false">NA()</f>
        <v>#N/A</v>
      </c>
    </row>
    <row r="45" customFormat="false" ht="12" hidden="false" customHeight="true" outlineLevel="0" collapsed="false">
      <c r="I45" s="37" t="e">
        <f aca="false">NA()</f>
        <v>#N/A</v>
      </c>
      <c r="J45" s="37" t="e">
        <f aca="false">NA()</f>
        <v>#N/A</v>
      </c>
    </row>
    <row r="46" customFormat="false" ht="12" hidden="false" customHeight="true" outlineLevel="0" collapsed="false">
      <c r="I46" s="37" t="e">
        <f aca="false">NA()</f>
        <v>#N/A</v>
      </c>
      <c r="J46" s="37" t="e">
        <f aca="false">NA()</f>
        <v>#N/A</v>
      </c>
    </row>
    <row r="47" customFormat="false" ht="12" hidden="false" customHeight="true" outlineLevel="0" collapsed="false">
      <c r="I47" s="37" t="e">
        <f aca="false">NA()</f>
        <v>#N/A</v>
      </c>
      <c r="J47" s="37" t="e">
        <f aca="false">NA()</f>
        <v>#N/A</v>
      </c>
    </row>
    <row r="48" customFormat="false" ht="12" hidden="false" customHeight="true" outlineLevel="0" collapsed="false">
      <c r="I48" s="37" t="e">
        <f aca="false">NA()</f>
        <v>#N/A</v>
      </c>
      <c r="J48" s="37" t="e">
        <f aca="false">NA()</f>
        <v>#N/A</v>
      </c>
    </row>
    <row r="49" customFormat="false" ht="12" hidden="false" customHeight="true" outlineLevel="0" collapsed="false">
      <c r="I49" s="37" t="e">
        <f aca="false">NA()</f>
        <v>#N/A</v>
      </c>
      <c r="J49" s="37" t="e">
        <f aca="false">NA()</f>
        <v>#N/A</v>
      </c>
    </row>
    <row r="50" customFormat="false" ht="12" hidden="false" customHeight="true" outlineLevel="0" collapsed="false">
      <c r="I50" s="37" t="e">
        <f aca="false">NA()</f>
        <v>#N/A</v>
      </c>
      <c r="J50" s="37" t="e">
        <f aca="false">NA()</f>
        <v>#N/A</v>
      </c>
    </row>
    <row r="51" customFormat="false" ht="12" hidden="false" customHeight="true" outlineLevel="0" collapsed="false">
      <c r="I51" s="37" t="e">
        <f aca="false">NA()</f>
        <v>#N/A</v>
      </c>
      <c r="J51" s="37" t="e">
        <f aca="false">NA()</f>
        <v>#N/A</v>
      </c>
    </row>
    <row r="52" customFormat="false" ht="12" hidden="false" customHeight="true" outlineLevel="0" collapsed="false">
      <c r="I52" s="37" t="e">
        <f aca="false">NA()</f>
        <v>#N/A</v>
      </c>
      <c r="J52" s="37" t="e">
        <f aca="false">NA()</f>
        <v>#N/A</v>
      </c>
    </row>
    <row r="53" customFormat="false" ht="12" hidden="false" customHeight="true" outlineLevel="0" collapsed="false">
      <c r="I53" s="37" t="e">
        <f aca="false">NA()</f>
        <v>#N/A</v>
      </c>
      <c r="J53" s="37" t="e">
        <f aca="false">NA()</f>
        <v>#N/A</v>
      </c>
    </row>
    <row r="54" customFormat="false" ht="12" hidden="false" customHeight="true" outlineLevel="0" collapsed="false">
      <c r="I54" s="37" t="e">
        <f aca="false">NA()</f>
        <v>#N/A</v>
      </c>
      <c r="J54" s="37" t="e">
        <f aca="false">NA()</f>
        <v>#N/A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H4" activeCellId="0" sqref="H4"/>
    </sheetView>
  </sheetViews>
  <sheetFormatPr defaultColWidth="10.5" defaultRowHeight="12" zeroHeight="false" outlineLevelRow="0" outlineLevelCol="0"/>
  <cols>
    <col collapsed="false" customWidth="true" hidden="false" outlineLevel="0" max="1" min="1" style="0" width="43.5"/>
    <col collapsed="false" customWidth="true" hidden="false" outlineLevel="0" max="2" min="2" style="0" width="21.5"/>
    <col collapsed="false" customWidth="true" hidden="false" outlineLevel="0" max="3" min="3" style="0" width="9.49"/>
    <col collapsed="false" customWidth="true" hidden="false" outlineLevel="0" max="6" min="6" style="0" width="11.5"/>
    <col collapsed="false" customWidth="true" hidden="false" outlineLevel="0" max="8" min="8" style="0" width="22.49"/>
    <col collapsed="false" customWidth="false" hidden="true" outlineLevel="0" max="10" min="9" style="0" width="10.5"/>
    <col collapsed="false" customWidth="true" hidden="false" outlineLevel="0" max="11" min="11" style="0" width="22.49"/>
  </cols>
  <sheetData>
    <row r="1" s="6" customFormat="true" ht="12.75" hidden="false" customHeight="true" outlineLevel="0" collapsed="false">
      <c r="A1" s="24" t="s">
        <v>0</v>
      </c>
      <c r="B1" s="25" t="s">
        <v>1</v>
      </c>
      <c r="C1" s="25" t="s">
        <v>2</v>
      </c>
      <c r="D1" s="26" t="s">
        <v>3</v>
      </c>
      <c r="E1" s="27" t="s">
        <v>4</v>
      </c>
      <c r="F1" s="26" t="s">
        <v>5</v>
      </c>
      <c r="G1" s="27" t="s">
        <v>6</v>
      </c>
      <c r="H1" s="28" t="s">
        <v>7</v>
      </c>
      <c r="I1" s="35" t="s">
        <v>281</v>
      </c>
      <c r="J1" s="36" t="s">
        <v>1</v>
      </c>
      <c r="K1" s="28" t="s">
        <v>513</v>
      </c>
    </row>
    <row r="2" customFormat="false" ht="12" hidden="false" customHeight="true" outlineLevel="0" collapsed="false">
      <c r="A2" s="49" t="s">
        <v>725</v>
      </c>
      <c r="B2" s="49" t="s">
        <v>426</v>
      </c>
      <c r="C2" s="49" t="s">
        <v>189</v>
      </c>
      <c r="D2" s="49" t="n">
        <v>43318</v>
      </c>
      <c r="E2" s="49"/>
      <c r="F2" s="52" t="n">
        <v>304</v>
      </c>
      <c r="G2" s="52" t="s">
        <v>10</v>
      </c>
      <c r="H2" s="51"/>
      <c r="I2" s="37"/>
      <c r="J2" s="37"/>
      <c r="K2" s="51" t="n">
        <v>1969</v>
      </c>
    </row>
    <row r="3" customFormat="false" ht="12" hidden="false" customHeight="true" outlineLevel="0" collapsed="false">
      <c r="A3" s="54" t="s">
        <v>726</v>
      </c>
      <c r="B3" s="54" t="s">
        <v>727</v>
      </c>
      <c r="C3" s="54" t="s">
        <v>70</v>
      </c>
      <c r="D3" s="54" t="n">
        <v>43372</v>
      </c>
      <c r="E3" s="54" t="n">
        <v>43997</v>
      </c>
      <c r="F3" s="55" t="n">
        <v>472</v>
      </c>
      <c r="G3" s="55" t="s">
        <v>10</v>
      </c>
      <c r="H3" s="56" t="n">
        <v>0</v>
      </c>
      <c r="I3" s="55"/>
      <c r="J3" s="55"/>
      <c r="K3" s="56" t="n">
        <v>2016</v>
      </c>
    </row>
    <row r="4" customFormat="false" ht="12" hidden="false" customHeight="true" outlineLevel="0" collapsed="false">
      <c r="A4" s="54" t="s">
        <v>760</v>
      </c>
      <c r="B4" s="54" t="s">
        <v>761</v>
      </c>
      <c r="C4" s="54" t="s">
        <v>684</v>
      </c>
      <c r="D4" s="54" t="n">
        <v>43790</v>
      </c>
      <c r="E4" s="54" t="n">
        <v>44150</v>
      </c>
      <c r="F4" s="55" t="n">
        <v>416</v>
      </c>
      <c r="G4" s="55" t="s">
        <v>10</v>
      </c>
      <c r="H4" s="56" t="n">
        <v>0</v>
      </c>
      <c r="I4" s="55"/>
      <c r="J4" s="55"/>
      <c r="K4" s="56" t="n">
        <v>2017</v>
      </c>
    </row>
    <row r="5" customFormat="false" ht="12" hidden="false" customHeight="true" outlineLevel="0" collapsed="false">
      <c r="A5" s="54" t="s">
        <v>765</v>
      </c>
      <c r="B5" s="54" t="s">
        <v>766</v>
      </c>
      <c r="C5" s="54" t="s">
        <v>189</v>
      </c>
      <c r="D5" s="54" t="n">
        <v>43830</v>
      </c>
      <c r="E5" s="54" t="n">
        <v>43860</v>
      </c>
      <c r="F5" s="55" t="n">
        <v>768</v>
      </c>
      <c r="G5" s="55" t="s">
        <v>10</v>
      </c>
      <c r="H5" s="56" t="n">
        <v>8</v>
      </c>
      <c r="I5" s="55"/>
      <c r="J5" s="55"/>
      <c r="K5" s="56" t="n">
        <v>1999</v>
      </c>
    </row>
    <row r="6" customFormat="false" ht="12" hidden="false" customHeight="true" outlineLevel="0" collapsed="false">
      <c r="A6" s="54" t="s">
        <v>767</v>
      </c>
      <c r="B6" s="54" t="s">
        <v>766</v>
      </c>
      <c r="C6" s="54" t="s">
        <v>189</v>
      </c>
      <c r="D6" s="54" t="n">
        <v>43860</v>
      </c>
      <c r="E6" s="54" t="n">
        <v>43889</v>
      </c>
      <c r="F6" s="55" t="n">
        <v>943</v>
      </c>
      <c r="G6" s="55" t="s">
        <v>10</v>
      </c>
      <c r="H6" s="56" t="n">
        <v>8</v>
      </c>
      <c r="I6" s="55"/>
      <c r="J6" s="55"/>
      <c r="K6" s="56" t="n">
        <v>2000</v>
      </c>
    </row>
    <row r="7" customFormat="false" ht="12" hidden="false" customHeight="true" outlineLevel="0" collapsed="false">
      <c r="A7" s="54" t="s">
        <v>768</v>
      </c>
      <c r="B7" s="54" t="s">
        <v>769</v>
      </c>
      <c r="C7" s="54" t="s">
        <v>684</v>
      </c>
      <c r="D7" s="54" t="n">
        <v>43870</v>
      </c>
      <c r="E7" s="54" t="n">
        <v>43884</v>
      </c>
      <c r="F7" s="55" t="n">
        <v>448</v>
      </c>
      <c r="G7" s="55" t="s">
        <v>58</v>
      </c>
      <c r="H7" s="56" t="n">
        <v>9</v>
      </c>
      <c r="I7" s="55"/>
      <c r="J7" s="55"/>
      <c r="K7" s="56" t="n">
        <v>2019</v>
      </c>
    </row>
    <row r="8" customFormat="false" ht="12" hidden="false" customHeight="true" outlineLevel="0" collapsed="false">
      <c r="A8" s="54" t="s">
        <v>770</v>
      </c>
      <c r="B8" s="54" t="s">
        <v>766</v>
      </c>
      <c r="C8" s="54" t="s">
        <v>189</v>
      </c>
      <c r="D8" s="54" t="n">
        <v>43889</v>
      </c>
      <c r="E8" s="54" t="n">
        <v>44185</v>
      </c>
      <c r="F8" s="55" t="n">
        <v>1184</v>
      </c>
      <c r="G8" s="55" t="s">
        <v>10</v>
      </c>
      <c r="H8" s="56" t="n">
        <v>7</v>
      </c>
      <c r="I8" s="55"/>
      <c r="J8" s="55"/>
      <c r="K8" s="56" t="n">
        <v>2001</v>
      </c>
    </row>
    <row r="9" customFormat="false" ht="12" hidden="false" customHeight="true" outlineLevel="0" collapsed="false">
      <c r="A9" s="54" t="s">
        <v>771</v>
      </c>
      <c r="B9" s="54" t="s">
        <v>772</v>
      </c>
      <c r="C9" s="54" t="s">
        <v>189</v>
      </c>
      <c r="D9" s="54" t="n">
        <v>43908</v>
      </c>
      <c r="E9" s="54" t="n">
        <v>43916</v>
      </c>
      <c r="F9" s="55" t="n">
        <v>192</v>
      </c>
      <c r="G9" s="55" t="s">
        <v>58</v>
      </c>
      <c r="H9" s="56" t="n">
        <v>3</v>
      </c>
      <c r="I9" s="55"/>
      <c r="J9" s="55"/>
      <c r="K9" s="56" t="n">
        <v>2016</v>
      </c>
    </row>
    <row r="10" customFormat="false" ht="12" hidden="false" customHeight="true" outlineLevel="0" collapsed="false">
      <c r="A10" s="54" t="s">
        <v>773</v>
      </c>
      <c r="B10" s="54" t="s">
        <v>774</v>
      </c>
      <c r="C10" s="54" t="s">
        <v>684</v>
      </c>
      <c r="D10" s="54" t="n">
        <v>43909</v>
      </c>
      <c r="E10" s="54" t="n">
        <v>43912</v>
      </c>
      <c r="F10" s="55" t="n">
        <v>128</v>
      </c>
      <c r="G10" s="55" t="s">
        <v>775</v>
      </c>
      <c r="H10" s="56" t="n">
        <v>8.5</v>
      </c>
      <c r="I10" s="55"/>
      <c r="J10" s="55"/>
      <c r="K10" s="56" t="n">
        <v>2020</v>
      </c>
    </row>
    <row r="11" customFormat="false" ht="12" hidden="false" customHeight="true" outlineLevel="0" collapsed="false">
      <c r="A11" s="54" t="s">
        <v>776</v>
      </c>
      <c r="B11" s="54" t="s">
        <v>777</v>
      </c>
      <c r="C11" s="54" t="s">
        <v>189</v>
      </c>
      <c r="D11" s="54" t="n">
        <v>43916</v>
      </c>
      <c r="E11" s="54" t="n">
        <v>43936</v>
      </c>
      <c r="F11" s="55" t="n">
        <v>328</v>
      </c>
      <c r="G11" s="55" t="s">
        <v>58</v>
      </c>
      <c r="H11" s="56" t="n">
        <v>7</v>
      </c>
      <c r="I11" s="55"/>
      <c r="J11" s="55"/>
      <c r="K11" s="56" t="n">
        <v>1722</v>
      </c>
    </row>
    <row r="12" customFormat="false" ht="12" hidden="false" customHeight="true" outlineLevel="0" collapsed="false">
      <c r="A12" s="54" t="s">
        <v>778</v>
      </c>
      <c r="B12" s="54" t="s">
        <v>779</v>
      </c>
      <c r="C12" s="54" t="s">
        <v>684</v>
      </c>
      <c r="D12" s="54" t="n">
        <v>43929</v>
      </c>
      <c r="E12" s="54" t="n">
        <v>44113</v>
      </c>
      <c r="F12" s="55" t="n">
        <v>417</v>
      </c>
      <c r="G12" s="55" t="s">
        <v>10</v>
      </c>
      <c r="H12" s="56" t="n">
        <v>7.5</v>
      </c>
      <c r="I12" s="55"/>
      <c r="J12" s="55"/>
      <c r="K12" s="56" t="n">
        <v>2020</v>
      </c>
    </row>
    <row r="13" customFormat="false" ht="12" hidden="false" customHeight="true" outlineLevel="0" collapsed="false">
      <c r="A13" s="54" t="s">
        <v>780</v>
      </c>
      <c r="B13" s="54" t="s">
        <v>675</v>
      </c>
      <c r="C13" s="54" t="s">
        <v>189</v>
      </c>
      <c r="D13" s="54" t="n">
        <v>43936</v>
      </c>
      <c r="E13" s="54" t="n">
        <v>43968</v>
      </c>
      <c r="F13" s="55" t="n">
        <v>496</v>
      </c>
      <c r="G13" s="55" t="s">
        <v>10</v>
      </c>
      <c r="H13" s="56" t="n">
        <v>8</v>
      </c>
      <c r="I13" s="55"/>
      <c r="J13" s="55"/>
      <c r="K13" s="56" t="n">
        <v>1999</v>
      </c>
    </row>
    <row r="14" customFormat="false" ht="12" hidden="false" customHeight="true" outlineLevel="0" collapsed="false">
      <c r="A14" s="54" t="s">
        <v>781</v>
      </c>
      <c r="B14" s="54" t="s">
        <v>782</v>
      </c>
      <c r="C14" s="54" t="s">
        <v>684</v>
      </c>
      <c r="D14" s="54" t="n">
        <v>43830</v>
      </c>
      <c r="E14" s="54" t="n">
        <v>43958</v>
      </c>
      <c r="F14" s="55" t="n">
        <v>192</v>
      </c>
      <c r="G14" s="55" t="s">
        <v>775</v>
      </c>
      <c r="H14" s="56" t="n">
        <v>10</v>
      </c>
      <c r="I14" s="55"/>
      <c r="J14" s="55"/>
      <c r="K14" s="56" t="n">
        <v>2019</v>
      </c>
    </row>
    <row r="15" customFormat="false" ht="12" hidden="false" customHeight="true" outlineLevel="0" collapsed="false">
      <c r="A15" s="54" t="s">
        <v>783</v>
      </c>
      <c r="B15" s="54" t="s">
        <v>675</v>
      </c>
      <c r="C15" s="54" t="s">
        <v>189</v>
      </c>
      <c r="D15" s="54" t="n">
        <v>43968</v>
      </c>
      <c r="E15" s="54" t="n">
        <v>43970</v>
      </c>
      <c r="F15" s="55" t="n">
        <v>50</v>
      </c>
      <c r="G15" s="55" t="s">
        <v>784</v>
      </c>
      <c r="H15" s="56" t="n">
        <v>7</v>
      </c>
      <c r="I15" s="55"/>
      <c r="J15" s="55"/>
      <c r="K15" s="56" t="n">
        <v>2004</v>
      </c>
    </row>
    <row r="16" customFormat="false" ht="12" hidden="false" customHeight="true" outlineLevel="0" collapsed="false">
      <c r="A16" s="54" t="s">
        <v>785</v>
      </c>
      <c r="B16" s="54" t="s">
        <v>737</v>
      </c>
      <c r="C16" s="54" t="s">
        <v>189</v>
      </c>
      <c r="D16" s="54" t="n">
        <v>43970</v>
      </c>
      <c r="E16" s="54" t="n">
        <v>43996</v>
      </c>
      <c r="F16" s="55" t="n">
        <v>384</v>
      </c>
      <c r="G16" s="55" t="s">
        <v>784</v>
      </c>
      <c r="H16" s="56" t="n">
        <v>7</v>
      </c>
      <c r="I16" s="55"/>
      <c r="J16" s="55"/>
      <c r="K16" s="56" t="n">
        <v>2004</v>
      </c>
    </row>
    <row r="17" customFormat="false" ht="12" hidden="false" customHeight="true" outlineLevel="0" collapsed="false">
      <c r="A17" s="49" t="s">
        <v>579</v>
      </c>
      <c r="B17" s="49" t="s">
        <v>786</v>
      </c>
      <c r="C17" s="49" t="s">
        <v>189</v>
      </c>
      <c r="D17" s="49" t="n">
        <v>43976</v>
      </c>
      <c r="E17" s="49"/>
      <c r="F17" s="52" t="n">
        <v>1051</v>
      </c>
      <c r="G17" s="52" t="s">
        <v>58</v>
      </c>
      <c r="H17" s="51"/>
      <c r="I17" s="37"/>
      <c r="J17" s="37"/>
      <c r="K17" s="51" t="n">
        <v>1632</v>
      </c>
    </row>
    <row r="18" customFormat="false" ht="12" hidden="false" customHeight="true" outlineLevel="0" collapsed="false">
      <c r="A18" s="54" t="s">
        <v>787</v>
      </c>
      <c r="B18" s="54" t="s">
        <v>161</v>
      </c>
      <c r="C18" s="54" t="s">
        <v>70</v>
      </c>
      <c r="D18" s="54" t="n">
        <v>43987</v>
      </c>
      <c r="E18" s="54" t="n">
        <v>43995</v>
      </c>
      <c r="F18" s="55" t="n">
        <v>302</v>
      </c>
      <c r="G18" s="55" t="s">
        <v>58</v>
      </c>
      <c r="H18" s="56" t="n">
        <v>8</v>
      </c>
      <c r="I18" s="55"/>
      <c r="J18" s="55"/>
      <c r="K18" s="56" t="n">
        <v>1966</v>
      </c>
    </row>
    <row r="19" customFormat="false" ht="12" hidden="false" customHeight="true" outlineLevel="0" collapsed="false">
      <c r="A19" s="54" t="s">
        <v>788</v>
      </c>
      <c r="B19" s="54" t="s">
        <v>789</v>
      </c>
      <c r="C19" s="54" t="s">
        <v>189</v>
      </c>
      <c r="D19" s="54" t="n">
        <v>43996</v>
      </c>
      <c r="E19" s="54" t="n">
        <v>44070</v>
      </c>
      <c r="F19" s="55" t="n">
        <v>646</v>
      </c>
      <c r="G19" s="55" t="s">
        <v>790</v>
      </c>
      <c r="H19" s="56" t="n">
        <v>7</v>
      </c>
      <c r="I19" s="55"/>
      <c r="J19" s="55"/>
      <c r="K19" s="56" t="n">
        <v>1392</v>
      </c>
    </row>
    <row r="20" customFormat="false" ht="12" hidden="false" customHeight="true" outlineLevel="0" collapsed="false">
      <c r="A20" s="54" t="s">
        <v>791</v>
      </c>
      <c r="B20" s="54" t="s">
        <v>792</v>
      </c>
      <c r="C20" s="54" t="s">
        <v>189</v>
      </c>
      <c r="D20" s="54" t="n">
        <v>44009</v>
      </c>
      <c r="E20" s="54" t="n">
        <v>44016</v>
      </c>
      <c r="F20" s="55" t="n">
        <v>311</v>
      </c>
      <c r="G20" s="55" t="s">
        <v>10</v>
      </c>
      <c r="H20" s="56" t="n">
        <v>8</v>
      </c>
      <c r="I20" s="55"/>
      <c r="J20" s="55"/>
      <c r="K20" s="56" t="n">
        <v>1959</v>
      </c>
    </row>
    <row r="21" customFormat="false" ht="12" hidden="false" customHeight="true" outlineLevel="0" collapsed="false">
      <c r="A21" s="54" t="s">
        <v>793</v>
      </c>
      <c r="B21" s="54" t="s">
        <v>794</v>
      </c>
      <c r="C21" s="54" t="s">
        <v>189</v>
      </c>
      <c r="D21" s="54" t="n">
        <v>44016</v>
      </c>
      <c r="E21" s="54" t="n">
        <v>44017</v>
      </c>
      <c r="F21" s="55" t="n">
        <v>480</v>
      </c>
      <c r="G21" s="55" t="s">
        <v>58</v>
      </c>
      <c r="H21" s="56" t="n">
        <v>7</v>
      </c>
      <c r="I21" s="55"/>
      <c r="J21" s="55"/>
      <c r="K21" s="56" t="n">
        <v>2013</v>
      </c>
    </row>
    <row r="22" customFormat="false" ht="12" hidden="false" customHeight="true" outlineLevel="0" collapsed="false">
      <c r="A22" s="54" t="s">
        <v>795</v>
      </c>
      <c r="B22" s="54" t="s">
        <v>796</v>
      </c>
      <c r="C22" s="54" t="s">
        <v>189</v>
      </c>
      <c r="D22" s="54" t="n">
        <v>44017</v>
      </c>
      <c r="E22" s="54" t="n">
        <v>44020</v>
      </c>
      <c r="F22" s="55" t="n">
        <v>153</v>
      </c>
      <c r="G22" s="55" t="s">
        <v>390</v>
      </c>
      <c r="H22" s="56" t="n">
        <v>7</v>
      </c>
      <c r="I22" s="55"/>
      <c r="J22" s="55"/>
      <c r="K22" s="56" t="n">
        <v>-206</v>
      </c>
    </row>
    <row r="23" customFormat="false" ht="12" hidden="false" customHeight="true" outlineLevel="0" collapsed="false">
      <c r="A23" s="54" t="s">
        <v>797</v>
      </c>
      <c r="B23" s="54" t="s">
        <v>798</v>
      </c>
      <c r="C23" s="54" t="s">
        <v>189</v>
      </c>
      <c r="D23" s="54" t="n">
        <v>44022</v>
      </c>
      <c r="E23" s="54" t="n">
        <v>44024</v>
      </c>
      <c r="F23" s="55" t="n">
        <v>320</v>
      </c>
      <c r="G23" s="55" t="s">
        <v>371</v>
      </c>
      <c r="H23" s="56" t="n">
        <v>9</v>
      </c>
      <c r="I23" s="55"/>
      <c r="J23" s="55"/>
      <c r="K23" s="56" t="n">
        <v>2010</v>
      </c>
    </row>
    <row r="24" customFormat="false" ht="12" hidden="false" customHeight="true" outlineLevel="0" collapsed="false">
      <c r="A24" s="54" t="s">
        <v>799</v>
      </c>
      <c r="B24" s="54" t="s">
        <v>407</v>
      </c>
      <c r="C24" s="54" t="s">
        <v>189</v>
      </c>
      <c r="D24" s="54" t="n">
        <v>44024</v>
      </c>
      <c r="E24" s="54" t="n">
        <v>44026</v>
      </c>
      <c r="F24" s="55" t="n">
        <v>272</v>
      </c>
      <c r="G24" s="55" t="s">
        <v>10</v>
      </c>
      <c r="H24" s="56" t="n">
        <v>7</v>
      </c>
      <c r="I24" s="55"/>
      <c r="J24" s="55"/>
      <c r="K24" s="56" t="n">
        <v>1966</v>
      </c>
    </row>
    <row r="25" customFormat="false" ht="12" hidden="false" customHeight="true" outlineLevel="0" collapsed="false">
      <c r="A25" s="54" t="s">
        <v>800</v>
      </c>
      <c r="B25" s="54" t="s">
        <v>721</v>
      </c>
      <c r="C25" s="54" t="s">
        <v>189</v>
      </c>
      <c r="D25" s="54" t="n">
        <v>44026</v>
      </c>
      <c r="E25" s="54" t="n">
        <v>44034</v>
      </c>
      <c r="F25" s="55" t="n">
        <v>254</v>
      </c>
      <c r="G25" s="55" t="s">
        <v>10</v>
      </c>
      <c r="H25" s="56" t="n">
        <v>8</v>
      </c>
      <c r="I25" s="55"/>
      <c r="J25" s="55"/>
      <c r="K25" s="56" t="n">
        <v>2008</v>
      </c>
    </row>
    <row r="26" customFormat="false" ht="12" hidden="false" customHeight="true" outlineLevel="0" collapsed="false">
      <c r="A26" s="54" t="s">
        <v>801</v>
      </c>
      <c r="B26" s="54" t="s">
        <v>721</v>
      </c>
      <c r="C26" s="54" t="s">
        <v>189</v>
      </c>
      <c r="D26" s="54" t="n">
        <v>44034</v>
      </c>
      <c r="E26" s="54" t="n">
        <v>44037</v>
      </c>
      <c r="F26" s="55" t="n">
        <v>400</v>
      </c>
      <c r="G26" s="55" t="s">
        <v>10</v>
      </c>
      <c r="H26" s="56" t="n">
        <v>8</v>
      </c>
      <c r="I26" s="55"/>
      <c r="J26" s="55"/>
      <c r="K26" s="56" t="n">
        <v>2010</v>
      </c>
    </row>
    <row r="27" customFormat="false" ht="12" hidden="false" customHeight="true" outlineLevel="0" collapsed="false">
      <c r="A27" s="54" t="s">
        <v>802</v>
      </c>
      <c r="B27" s="54" t="s">
        <v>721</v>
      </c>
      <c r="C27" s="54" t="s">
        <v>189</v>
      </c>
      <c r="D27" s="54" t="n">
        <v>44037</v>
      </c>
      <c r="E27" s="54" t="n">
        <v>44040</v>
      </c>
      <c r="F27" s="55" t="n">
        <v>216</v>
      </c>
      <c r="G27" s="55" t="s">
        <v>10</v>
      </c>
      <c r="H27" s="56" t="n">
        <v>8</v>
      </c>
      <c r="I27" s="55"/>
      <c r="J27" s="55"/>
      <c r="K27" s="56" t="n">
        <v>2012</v>
      </c>
    </row>
    <row r="28" customFormat="false" ht="12" hidden="false" customHeight="true" outlineLevel="0" collapsed="false">
      <c r="A28" s="54" t="s">
        <v>803</v>
      </c>
      <c r="B28" s="54" t="s">
        <v>721</v>
      </c>
      <c r="C28" s="54" t="s">
        <v>189</v>
      </c>
      <c r="D28" s="54" t="n">
        <v>44040</v>
      </c>
      <c r="E28" s="54" t="n">
        <v>44042</v>
      </c>
      <c r="F28" s="55" t="n">
        <v>256</v>
      </c>
      <c r="G28" s="55" t="s">
        <v>10</v>
      </c>
      <c r="H28" s="56" t="n">
        <v>6.8</v>
      </c>
      <c r="I28" s="55"/>
      <c r="J28" s="55"/>
      <c r="K28" s="56" t="n">
        <v>2015</v>
      </c>
    </row>
    <row r="29" customFormat="false" ht="12" hidden="false" customHeight="true" outlineLevel="0" collapsed="false">
      <c r="A29" s="54" t="s">
        <v>340</v>
      </c>
      <c r="B29" s="54" t="s">
        <v>341</v>
      </c>
      <c r="C29" s="54" t="s">
        <v>189</v>
      </c>
      <c r="D29" s="54" t="n">
        <v>44042</v>
      </c>
      <c r="E29" s="54" t="n">
        <v>44049</v>
      </c>
      <c r="F29" s="55" t="n">
        <v>320</v>
      </c>
      <c r="G29" s="55" t="s">
        <v>10</v>
      </c>
      <c r="H29" s="56" t="n">
        <v>6</v>
      </c>
      <c r="I29" s="55"/>
      <c r="J29" s="55"/>
      <c r="K29" s="56" t="n">
        <v>2000</v>
      </c>
    </row>
    <row r="30" customFormat="false" ht="12" hidden="false" customHeight="true" outlineLevel="0" collapsed="false">
      <c r="A30" s="54" t="s">
        <v>804</v>
      </c>
      <c r="B30" s="54" t="s">
        <v>805</v>
      </c>
      <c r="C30" s="54" t="s">
        <v>70</v>
      </c>
      <c r="D30" s="54" t="n">
        <v>44044</v>
      </c>
      <c r="E30" s="54" t="n">
        <v>44046</v>
      </c>
      <c r="F30" s="55" t="n">
        <v>232</v>
      </c>
      <c r="G30" s="55" t="s">
        <v>24</v>
      </c>
      <c r="H30" s="56" t="n">
        <v>3</v>
      </c>
      <c r="I30" s="55"/>
      <c r="J30" s="55"/>
      <c r="K30" s="56" t="n">
        <v>2017</v>
      </c>
    </row>
    <row r="31" customFormat="false" ht="12" hidden="false" customHeight="true" outlineLevel="0" collapsed="false">
      <c r="A31" s="54" t="s">
        <v>806</v>
      </c>
      <c r="B31" s="54" t="s">
        <v>807</v>
      </c>
      <c r="C31" s="54" t="s">
        <v>189</v>
      </c>
      <c r="D31" s="54" t="n">
        <v>44049</v>
      </c>
      <c r="E31" s="54" t="n">
        <v>44054</v>
      </c>
      <c r="F31" s="55" t="n">
        <v>294</v>
      </c>
      <c r="G31" s="55" t="s">
        <v>58</v>
      </c>
      <c r="H31" s="56" t="n">
        <v>7.5</v>
      </c>
      <c r="I31" s="55"/>
      <c r="J31" s="55"/>
      <c r="K31" s="56" t="n">
        <v>1965</v>
      </c>
    </row>
    <row r="32" customFormat="false" ht="12" hidden="false" customHeight="true" outlineLevel="0" collapsed="false">
      <c r="A32" s="49" t="s">
        <v>808</v>
      </c>
      <c r="B32" s="49" t="s">
        <v>809</v>
      </c>
      <c r="C32" s="49" t="s">
        <v>189</v>
      </c>
      <c r="D32" s="49" t="n">
        <v>44054</v>
      </c>
      <c r="E32" s="49"/>
      <c r="F32" s="52" t="n">
        <v>1383</v>
      </c>
      <c r="G32" s="52" t="s">
        <v>58</v>
      </c>
      <c r="H32" s="51"/>
      <c r="I32" s="37"/>
      <c r="J32" s="37"/>
      <c r="K32" s="51" t="n">
        <v>-430</v>
      </c>
    </row>
    <row r="33" customFormat="false" ht="12" hidden="false" customHeight="true" outlineLevel="0" collapsed="false">
      <c r="A33" s="54" t="s">
        <v>810</v>
      </c>
      <c r="B33" s="54" t="s">
        <v>811</v>
      </c>
      <c r="C33" s="54" t="s">
        <v>189</v>
      </c>
      <c r="D33" s="54" t="n">
        <v>44060</v>
      </c>
      <c r="E33" s="54" t="n">
        <v>44064</v>
      </c>
      <c r="F33" s="55" t="n">
        <v>576</v>
      </c>
      <c r="G33" s="55" t="s">
        <v>10</v>
      </c>
      <c r="H33" s="56" t="n">
        <v>7</v>
      </c>
      <c r="I33" s="55"/>
      <c r="J33" s="55"/>
      <c r="K33" s="56" t="n">
        <v>2015</v>
      </c>
    </row>
    <row r="34" customFormat="false" ht="12" hidden="false" customHeight="true" outlineLevel="0" collapsed="false">
      <c r="A34" s="54" t="s">
        <v>812</v>
      </c>
      <c r="B34" s="54" t="s">
        <v>813</v>
      </c>
      <c r="C34" s="54" t="s">
        <v>684</v>
      </c>
      <c r="D34" s="54" t="n">
        <v>44067</v>
      </c>
      <c r="E34" s="54" t="n">
        <v>44072</v>
      </c>
      <c r="F34" s="55" t="n">
        <v>240</v>
      </c>
      <c r="G34" s="55" t="s">
        <v>560</v>
      </c>
      <c r="H34" s="56" t="n">
        <v>8.5</v>
      </c>
      <c r="I34" s="55"/>
      <c r="J34" s="55"/>
      <c r="K34" s="56" t="n">
        <v>2019</v>
      </c>
    </row>
    <row r="35" customFormat="false" ht="12" hidden="false" customHeight="true" outlineLevel="0" collapsed="false">
      <c r="A35" s="54" t="s">
        <v>499</v>
      </c>
      <c r="B35" s="54" t="s">
        <v>814</v>
      </c>
      <c r="C35" s="54" t="s">
        <v>189</v>
      </c>
      <c r="D35" s="54" t="n">
        <v>44070</v>
      </c>
      <c r="E35" s="54" t="n">
        <v>44073</v>
      </c>
      <c r="F35" s="55" t="n">
        <v>336</v>
      </c>
      <c r="G35" s="55" t="s">
        <v>10</v>
      </c>
      <c r="H35" s="56" t="n">
        <v>6.5</v>
      </c>
      <c r="I35" s="55"/>
      <c r="J35" s="55"/>
      <c r="K35" s="56" t="n">
        <v>1950</v>
      </c>
    </row>
    <row r="36" customFormat="false" ht="12" hidden="false" customHeight="true" outlineLevel="0" collapsed="false">
      <c r="A36" s="54" t="s">
        <v>815</v>
      </c>
      <c r="B36" s="54" t="s">
        <v>495</v>
      </c>
      <c r="C36" s="54" t="s">
        <v>189</v>
      </c>
      <c r="D36" s="54" t="n">
        <v>44073</v>
      </c>
      <c r="E36" s="54" t="n">
        <v>44074</v>
      </c>
      <c r="F36" s="55" t="n">
        <v>176</v>
      </c>
      <c r="G36" s="55" t="s">
        <v>390</v>
      </c>
      <c r="H36" s="56" t="n">
        <v>8</v>
      </c>
      <c r="I36" s="55"/>
      <c r="J36" s="55"/>
      <c r="K36" s="56" t="n">
        <v>1933</v>
      </c>
    </row>
    <row r="37" customFormat="false" ht="12" hidden="false" customHeight="true" outlineLevel="0" collapsed="false">
      <c r="A37" s="54" t="s">
        <v>816</v>
      </c>
      <c r="B37" s="54" t="s">
        <v>817</v>
      </c>
      <c r="C37" s="54" t="s">
        <v>189</v>
      </c>
      <c r="D37" s="54" t="n">
        <v>44074</v>
      </c>
      <c r="E37" s="54" t="n">
        <v>44087</v>
      </c>
      <c r="F37" s="55" t="n">
        <v>226</v>
      </c>
      <c r="G37" s="55" t="s">
        <v>10</v>
      </c>
      <c r="H37" s="56" t="n">
        <v>8.5</v>
      </c>
      <c r="I37" s="55"/>
      <c r="J37" s="55"/>
      <c r="K37" s="56" t="n">
        <v>1987</v>
      </c>
    </row>
    <row r="38" customFormat="false" ht="12" hidden="false" customHeight="true" outlineLevel="0" collapsed="false">
      <c r="A38" s="54" t="s">
        <v>818</v>
      </c>
      <c r="B38" s="54" t="s">
        <v>819</v>
      </c>
      <c r="C38" s="54" t="s">
        <v>189</v>
      </c>
      <c r="D38" s="54" t="n">
        <v>44087</v>
      </c>
      <c r="E38" s="54" t="n">
        <v>44101</v>
      </c>
      <c r="F38" s="55" t="n">
        <v>224</v>
      </c>
      <c r="G38" s="55" t="s">
        <v>371</v>
      </c>
      <c r="H38" s="56" t="n">
        <v>7.5</v>
      </c>
      <c r="I38" s="55"/>
      <c r="J38" s="55"/>
      <c r="K38" s="56" t="n">
        <v>2010</v>
      </c>
    </row>
    <row r="39" customFormat="false" ht="12" hidden="false" customHeight="true" outlineLevel="0" collapsed="false">
      <c r="A39" s="54" t="s">
        <v>820</v>
      </c>
      <c r="B39" s="54" t="s">
        <v>261</v>
      </c>
      <c r="C39" s="54" t="s">
        <v>684</v>
      </c>
      <c r="D39" s="54" t="n">
        <v>44094</v>
      </c>
      <c r="E39" s="54" t="n">
        <v>44127</v>
      </c>
      <c r="F39" s="55" t="n">
        <v>344</v>
      </c>
      <c r="G39" s="55" t="s">
        <v>58</v>
      </c>
      <c r="H39" s="56" t="n">
        <v>8.5</v>
      </c>
      <c r="I39" s="55"/>
      <c r="J39" s="55"/>
      <c r="K39" s="56" t="n">
        <v>1973</v>
      </c>
    </row>
    <row r="40" customFormat="false" ht="12" hidden="false" customHeight="true" outlineLevel="0" collapsed="false">
      <c r="A40" s="54" t="s">
        <v>821</v>
      </c>
      <c r="B40" s="54" t="s">
        <v>822</v>
      </c>
      <c r="C40" s="54" t="s">
        <v>70</v>
      </c>
      <c r="D40" s="54" t="n">
        <v>44113</v>
      </c>
      <c r="E40" s="54" t="n">
        <v>44116</v>
      </c>
      <c r="F40" s="55" t="n">
        <v>288</v>
      </c>
      <c r="G40" s="55" t="s">
        <v>24</v>
      </c>
      <c r="H40" s="56" t="n">
        <v>8</v>
      </c>
      <c r="I40" s="55"/>
      <c r="J40" s="55"/>
      <c r="K40" s="56" t="n">
        <v>2019</v>
      </c>
    </row>
    <row r="41" customFormat="false" ht="12" hidden="false" customHeight="true" outlineLevel="0" collapsed="false">
      <c r="A41" s="54" t="s">
        <v>823</v>
      </c>
      <c r="B41" s="54" t="s">
        <v>589</v>
      </c>
      <c r="C41" s="54" t="s">
        <v>684</v>
      </c>
      <c r="D41" s="54" t="n">
        <v>44117</v>
      </c>
      <c r="E41" s="54" t="n">
        <v>44121</v>
      </c>
      <c r="F41" s="55" t="n">
        <v>128</v>
      </c>
      <c r="G41" s="55" t="s">
        <v>784</v>
      </c>
      <c r="H41" s="56" t="n">
        <v>8</v>
      </c>
      <c r="I41" s="55"/>
      <c r="J41" s="55"/>
      <c r="K41" s="56" t="n">
        <v>2017</v>
      </c>
    </row>
    <row r="42" customFormat="false" ht="12" hidden="false" customHeight="true" outlineLevel="0" collapsed="false">
      <c r="A42" s="54" t="s">
        <v>824</v>
      </c>
      <c r="B42" s="54" t="s">
        <v>825</v>
      </c>
      <c r="C42" s="54" t="s">
        <v>684</v>
      </c>
      <c r="D42" s="54" t="n">
        <v>44127</v>
      </c>
      <c r="E42" s="54" t="n">
        <v>44151</v>
      </c>
      <c r="F42" s="55" t="n">
        <v>464</v>
      </c>
      <c r="G42" s="55" t="s">
        <v>371</v>
      </c>
      <c r="H42" s="56" t="n">
        <v>0</v>
      </c>
      <c r="I42" s="55"/>
      <c r="J42" s="55"/>
      <c r="K42" s="56" t="n">
        <v>2015</v>
      </c>
    </row>
    <row r="43" customFormat="false" ht="12" hidden="false" customHeight="true" outlineLevel="0" collapsed="false">
      <c r="A43" s="54" t="s">
        <v>826</v>
      </c>
      <c r="B43" s="54" t="s">
        <v>827</v>
      </c>
      <c r="C43" s="54" t="s">
        <v>70</v>
      </c>
      <c r="D43" s="54" t="n">
        <v>44150</v>
      </c>
      <c r="E43" s="54" t="n">
        <v>44173</v>
      </c>
      <c r="F43" s="55" t="n">
        <v>383</v>
      </c>
      <c r="G43" s="55" t="s">
        <v>828</v>
      </c>
      <c r="H43" s="56" t="n">
        <v>9</v>
      </c>
      <c r="I43" s="55"/>
      <c r="J43" s="55"/>
      <c r="K43" s="56" t="n">
        <v>1967</v>
      </c>
    </row>
    <row r="44" customFormat="false" ht="12" hidden="false" customHeight="true" outlineLevel="0" collapsed="false">
      <c r="A44" s="54" t="s">
        <v>829</v>
      </c>
      <c r="B44" s="54" t="s">
        <v>817</v>
      </c>
      <c r="C44" s="54" t="s">
        <v>189</v>
      </c>
      <c r="D44" s="54" t="n">
        <v>44185</v>
      </c>
      <c r="E44" s="54" t="n">
        <v>44194</v>
      </c>
      <c r="F44" s="55" t="n">
        <v>320</v>
      </c>
      <c r="G44" s="55" t="s">
        <v>10</v>
      </c>
      <c r="H44" s="56" t="n">
        <v>9</v>
      </c>
      <c r="I44" s="55"/>
      <c r="J44" s="55"/>
      <c r="K44" s="56" t="n">
        <v>1989</v>
      </c>
    </row>
    <row r="45" customFormat="false" ht="12" hidden="false" customHeight="true" outlineLevel="0" collapsed="false">
      <c r="F45" s="32" t="n">
        <f aca="false">SUMIFS(F2:F44,E2:E44,"&gt;0")</f>
        <v>14579</v>
      </c>
      <c r="G45" s="33"/>
      <c r="H45" s="34" t="n">
        <f aca="false">GEOMEAN(H2:H44)</f>
        <v>0</v>
      </c>
      <c r="I45" s="37" t="e">
        <f aca="false">NA()</f>
        <v>#N/A</v>
      </c>
      <c r="J45" s="37" t="e">
        <f aca="false">NA()</f>
        <v>#N/A</v>
      </c>
      <c r="K45" s="34"/>
    </row>
    <row r="46" customFormat="false" ht="12" hidden="false" customHeight="true" outlineLevel="0" collapsed="false">
      <c r="A46" s="24" t="s">
        <v>275</v>
      </c>
      <c r="I46" s="37" t="e">
        <f aca="false">NA()</f>
        <v>#N/A</v>
      </c>
      <c r="J46" s="37" t="e">
        <f aca="false">NA()</f>
        <v>#N/A</v>
      </c>
    </row>
    <row r="47" customFormat="false" ht="24" hidden="false" customHeight="true" outlineLevel="0" collapsed="false">
      <c r="A47" s="6" t="s">
        <v>277</v>
      </c>
      <c r="B47" s="6" t="s">
        <v>278</v>
      </c>
      <c r="C47" s="6" t="s">
        <v>279</v>
      </c>
      <c r="D47" s="6" t="s">
        <v>280</v>
      </c>
      <c r="I47" s="37" t="e">
        <f aca="false">NA()</f>
        <v>#N/A</v>
      </c>
      <c r="J47" s="37" t="e">
        <f aca="false">NA()</f>
        <v>#N/A</v>
      </c>
    </row>
    <row r="48" customFormat="false" ht="12" hidden="false" customHeight="true" outlineLevel="0" collapsed="false">
      <c r="A48" s="6" t="n">
        <f aca="false">COUNTIF(E2:E44,"&gt;0")</f>
        <v>40</v>
      </c>
      <c r="B48" s="6" t="n">
        <f aca="false">ROUND(F45/A48,0)</f>
        <v>364</v>
      </c>
      <c r="C48" s="6" t="e">
        <f aca="false">INDEX(J4:J69,MATCH(MAX(I4:I69),I4:I69,0),1)</f>
        <v>#N/A</v>
      </c>
      <c r="D48" s="6"/>
      <c r="I48" s="37" t="e">
        <f aca="false">NA()</f>
        <v>#N/A</v>
      </c>
      <c r="J48" s="37" t="e">
        <f aca="false">NA()</f>
        <v>#N/A</v>
      </c>
    </row>
    <row r="49" customFormat="false" ht="12" hidden="false" customHeight="true" outlineLevel="0" collapsed="false">
      <c r="I49" s="37" t="e">
        <f aca="false">NA()</f>
        <v>#N/A</v>
      </c>
      <c r="J49" s="37" t="e">
        <f aca="false">NA()</f>
        <v>#N/A</v>
      </c>
    </row>
    <row r="50" customFormat="false" ht="12" hidden="false" customHeight="true" outlineLevel="0" collapsed="false">
      <c r="I50" s="37" t="e">
        <f aca="false">NA()</f>
        <v>#N/A</v>
      </c>
      <c r="J50" s="37" t="e">
        <f aca="false">NA()</f>
        <v>#N/A</v>
      </c>
    </row>
    <row r="51" customFormat="false" ht="12" hidden="false" customHeight="true" outlineLevel="0" collapsed="false">
      <c r="I51" s="37" t="e">
        <f aca="false">NA()</f>
        <v>#N/A</v>
      </c>
      <c r="J51" s="37" t="e">
        <f aca="false">NA()</f>
        <v>#N/A</v>
      </c>
    </row>
    <row r="52" customFormat="false" ht="12" hidden="false" customHeight="true" outlineLevel="0" collapsed="false">
      <c r="I52" s="37" t="e">
        <f aca="false">NA()</f>
        <v>#N/A</v>
      </c>
      <c r="J52" s="37" t="e">
        <f aca="false">NA()</f>
        <v>#N/A</v>
      </c>
    </row>
    <row r="53" customFormat="false" ht="12" hidden="false" customHeight="true" outlineLevel="0" collapsed="false">
      <c r="I53" s="37" t="e">
        <f aca="false">NA()</f>
        <v>#N/A</v>
      </c>
      <c r="J53" s="37" t="e">
        <f aca="false">NA()</f>
        <v>#N/A</v>
      </c>
    </row>
    <row r="54" customFormat="false" ht="12" hidden="false" customHeight="true" outlineLevel="0" collapsed="false">
      <c r="I54" s="37" t="e">
        <f aca="false">NA()</f>
        <v>#N/A</v>
      </c>
      <c r="J54" s="37" t="e">
        <f aca="false">NA()</f>
        <v>#N/A</v>
      </c>
    </row>
    <row r="55" customFormat="false" ht="12" hidden="false" customHeight="true" outlineLevel="0" collapsed="false">
      <c r="I55" s="37" t="e">
        <f aca="false">NA()</f>
        <v>#N/A</v>
      </c>
      <c r="J55" s="37" t="e">
        <f aca="false">NA()</f>
        <v>#N/A</v>
      </c>
    </row>
    <row r="56" customFormat="false" ht="12" hidden="false" customHeight="true" outlineLevel="0" collapsed="false">
      <c r="I56" s="37" t="e">
        <f aca="false">NA()</f>
        <v>#N/A</v>
      </c>
      <c r="J56" s="37" t="e">
        <f aca="false">NA()</f>
        <v>#N/A</v>
      </c>
    </row>
    <row r="57" customFormat="false" ht="12" hidden="false" customHeight="true" outlineLevel="0" collapsed="false">
      <c r="I57" s="37" t="e">
        <f aca="false">NA()</f>
        <v>#N/A</v>
      </c>
      <c r="J57" s="37" t="e">
        <f aca="false">NA()</f>
        <v>#N/A</v>
      </c>
    </row>
    <row r="58" customFormat="false" ht="12" hidden="false" customHeight="true" outlineLevel="0" collapsed="false">
      <c r="I58" s="37" t="e">
        <f aca="false">NA()</f>
        <v>#N/A</v>
      </c>
      <c r="J58" s="37" t="e">
        <f aca="false">NA()</f>
        <v>#N/A</v>
      </c>
    </row>
    <row r="59" customFormat="false" ht="12" hidden="false" customHeight="true" outlineLevel="0" collapsed="false">
      <c r="I59" s="37" t="e">
        <f aca="false">NA()</f>
        <v>#N/A</v>
      </c>
      <c r="J59" s="37" t="e">
        <f aca="false">NA()</f>
        <v>#N/A</v>
      </c>
    </row>
    <row r="60" customFormat="false" ht="12" hidden="false" customHeight="true" outlineLevel="0" collapsed="false">
      <c r="I60" s="37" t="e">
        <f aca="false">NA()</f>
        <v>#N/A</v>
      </c>
      <c r="J60" s="37" t="e">
        <f aca="false">NA()</f>
        <v>#N/A</v>
      </c>
    </row>
    <row r="61" customFormat="false" ht="12" hidden="false" customHeight="true" outlineLevel="0" collapsed="false">
      <c r="I61" s="37" t="e">
        <f aca="false">NA()</f>
        <v>#N/A</v>
      </c>
      <c r="J61" s="37" t="e">
        <f aca="false">NA()</f>
        <v>#N/A</v>
      </c>
    </row>
    <row r="62" customFormat="false" ht="12" hidden="false" customHeight="true" outlineLevel="0" collapsed="false">
      <c r="I62" s="37" t="e">
        <f aca="false">NA()</f>
        <v>#N/A</v>
      </c>
      <c r="J62" s="37" t="e">
        <f aca="false">NA()</f>
        <v>#N/A</v>
      </c>
    </row>
    <row r="63" customFormat="false" ht="12" hidden="false" customHeight="true" outlineLevel="0" collapsed="false">
      <c r="I63" s="37" t="e">
        <f aca="false">NA()</f>
        <v>#N/A</v>
      </c>
      <c r="J63" s="37" t="e">
        <f aca="false">NA()</f>
        <v>#N/A</v>
      </c>
    </row>
    <row r="64" customFormat="false" ht="12" hidden="false" customHeight="true" outlineLevel="0" collapsed="false">
      <c r="I64" s="37" t="e">
        <f aca="false">NA()</f>
        <v>#N/A</v>
      </c>
      <c r="J64" s="37" t="e">
        <f aca="false">NA()</f>
        <v>#N/A</v>
      </c>
    </row>
    <row r="65" customFormat="false" ht="12" hidden="false" customHeight="true" outlineLevel="0" collapsed="false">
      <c r="I65" s="37" t="e">
        <f aca="false">NA()</f>
        <v>#N/A</v>
      </c>
      <c r="J65" s="37" t="e">
        <f aca="false">NA()</f>
        <v>#N/A</v>
      </c>
    </row>
    <row r="66" customFormat="false" ht="12" hidden="false" customHeight="true" outlineLevel="0" collapsed="false">
      <c r="I66" s="37" t="e">
        <f aca="false">NA()</f>
        <v>#N/A</v>
      </c>
      <c r="J66" s="37" t="e">
        <f aca="false">NA()</f>
        <v>#N/A</v>
      </c>
    </row>
    <row r="67" customFormat="false" ht="12" hidden="false" customHeight="true" outlineLevel="0" collapsed="false">
      <c r="I67" s="37" t="e">
        <f aca="false">NA()</f>
        <v>#N/A</v>
      </c>
      <c r="J67" s="37" t="e">
        <f aca="false">NA()</f>
        <v>#N/A</v>
      </c>
    </row>
    <row r="68" customFormat="false" ht="12" hidden="false" customHeight="true" outlineLevel="0" collapsed="false">
      <c r="I68" s="37" t="e">
        <f aca="false">NA()</f>
        <v>#N/A</v>
      </c>
      <c r="J68" s="37" t="e">
        <f aca="false">NA()</f>
        <v>#N/A</v>
      </c>
    </row>
    <row r="69" customFormat="false" ht="12" hidden="false" customHeight="true" outlineLevel="0" collapsed="false">
      <c r="I69" s="37" t="e">
        <f aca="false">NA()</f>
        <v>#N/A</v>
      </c>
      <c r="J69" s="37" t="e">
        <f aca="false">NA()</f>
        <v>#N/A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5"/>
  <sheetViews>
    <sheetView showFormulas="false" showGridLines="true" showRowColHeaders="true" showZeros="true" rightToLeft="false" tabSelected="false" showOutlineSymbols="true" defaultGridColor="true" view="normal" topLeftCell="A7" colorId="64" zoomScale="110" zoomScaleNormal="110" zoomScalePageLayoutView="100" workbookViewId="0">
      <selection pane="topLeft" activeCell="B16" activeCellId="0" sqref="B16"/>
    </sheetView>
  </sheetViews>
  <sheetFormatPr defaultColWidth="10.5" defaultRowHeight="12" zeroHeight="false" outlineLevelRow="0" outlineLevelCol="0"/>
  <cols>
    <col collapsed="false" customWidth="true" hidden="false" outlineLevel="0" max="1" min="1" style="0" width="69.5"/>
    <col collapsed="false" customWidth="true" hidden="false" outlineLevel="0" max="2" min="2" style="0" width="27.49"/>
    <col collapsed="false" customWidth="true" hidden="false" outlineLevel="0" max="3" min="3" style="0" width="9.49"/>
    <col collapsed="false" customWidth="true" hidden="false" outlineLevel="0" max="6" min="6" style="0" width="11.5"/>
    <col collapsed="false" customWidth="true" hidden="false" outlineLevel="0" max="8" min="8" style="0" width="22.49"/>
    <col collapsed="false" customWidth="false" hidden="true" outlineLevel="0" max="10" min="9" style="0" width="10.5"/>
    <col collapsed="false" customWidth="true" hidden="false" outlineLevel="0" max="11" min="11" style="0" width="22.49"/>
  </cols>
  <sheetData>
    <row r="1" s="6" customFormat="true" ht="12.75" hidden="false" customHeight="true" outlineLevel="0" collapsed="false">
      <c r="A1" s="24" t="s">
        <v>0</v>
      </c>
      <c r="B1" s="25" t="s">
        <v>1</v>
      </c>
      <c r="C1" s="25" t="s">
        <v>2</v>
      </c>
      <c r="D1" s="26" t="s">
        <v>3</v>
      </c>
      <c r="E1" s="27" t="s">
        <v>4</v>
      </c>
      <c r="F1" s="26" t="s">
        <v>5</v>
      </c>
      <c r="G1" s="27" t="s">
        <v>6</v>
      </c>
      <c r="H1" s="28" t="s">
        <v>7</v>
      </c>
      <c r="I1" s="35" t="s">
        <v>281</v>
      </c>
      <c r="J1" s="36" t="s">
        <v>1</v>
      </c>
      <c r="K1" s="28" t="s">
        <v>513</v>
      </c>
    </row>
    <row r="2" customFormat="false" ht="12" hidden="false" customHeight="true" outlineLevel="0" collapsed="false">
      <c r="A2" s="49" t="s">
        <v>725</v>
      </c>
      <c r="B2" s="49" t="s">
        <v>426</v>
      </c>
      <c r="C2" s="49" t="s">
        <v>189</v>
      </c>
      <c r="D2" s="49" t="n">
        <v>43318</v>
      </c>
      <c r="E2" s="49"/>
      <c r="F2" s="52" t="n">
        <v>304</v>
      </c>
      <c r="G2" s="52" t="s">
        <v>10</v>
      </c>
      <c r="H2" s="51"/>
      <c r="I2" s="37"/>
      <c r="J2" s="37"/>
      <c r="K2" s="51" t="n">
        <v>1969</v>
      </c>
    </row>
    <row r="3" customFormat="false" ht="12" hidden="false" customHeight="true" outlineLevel="0" collapsed="false">
      <c r="A3" s="49" t="s">
        <v>579</v>
      </c>
      <c r="B3" s="49" t="s">
        <v>786</v>
      </c>
      <c r="C3" s="49" t="s">
        <v>189</v>
      </c>
      <c r="D3" s="49" t="n">
        <v>43976</v>
      </c>
      <c r="E3" s="49"/>
      <c r="F3" s="52" t="n">
        <v>1051</v>
      </c>
      <c r="G3" s="52" t="s">
        <v>58</v>
      </c>
      <c r="H3" s="51"/>
      <c r="I3" s="37"/>
      <c r="J3" s="37"/>
      <c r="K3" s="51" t="n">
        <v>1632</v>
      </c>
    </row>
    <row r="4" customFormat="false" ht="12" hidden="false" customHeight="true" outlineLevel="0" collapsed="false">
      <c r="A4" s="49" t="s">
        <v>808</v>
      </c>
      <c r="B4" s="49" t="s">
        <v>809</v>
      </c>
      <c r="C4" s="49" t="s">
        <v>189</v>
      </c>
      <c r="D4" s="49" t="n">
        <v>44054</v>
      </c>
      <c r="E4" s="49"/>
      <c r="F4" s="52" t="n">
        <v>1383</v>
      </c>
      <c r="G4" s="52" t="s">
        <v>58</v>
      </c>
      <c r="H4" s="51"/>
      <c r="I4" s="37"/>
      <c r="J4" s="37"/>
      <c r="K4" s="51" t="n">
        <v>-430</v>
      </c>
    </row>
    <row r="5" customFormat="false" ht="12" hidden="false" customHeight="true" outlineLevel="0" collapsed="false">
      <c r="A5" s="54" t="s">
        <v>830</v>
      </c>
      <c r="B5" s="54" t="s">
        <v>817</v>
      </c>
      <c r="C5" s="54" t="s">
        <v>189</v>
      </c>
      <c r="D5" s="54" t="n">
        <v>44194</v>
      </c>
      <c r="E5" s="54" t="n">
        <v>44197</v>
      </c>
      <c r="F5" s="55" t="n">
        <v>272</v>
      </c>
      <c r="G5" s="55" t="s">
        <v>10</v>
      </c>
      <c r="H5" s="56" t="n">
        <v>7</v>
      </c>
      <c r="I5" s="55"/>
      <c r="J5" s="55"/>
      <c r="K5" s="56" t="n">
        <v>1991</v>
      </c>
    </row>
    <row r="6" customFormat="false" ht="12" hidden="false" customHeight="true" outlineLevel="0" collapsed="false">
      <c r="A6" s="54" t="s">
        <v>831</v>
      </c>
      <c r="B6" s="54" t="s">
        <v>675</v>
      </c>
      <c r="C6" s="54" t="s">
        <v>189</v>
      </c>
      <c r="D6" s="54" t="n">
        <v>44197</v>
      </c>
      <c r="E6" s="54" t="n">
        <v>44202</v>
      </c>
      <c r="F6" s="55" t="n">
        <v>320</v>
      </c>
      <c r="G6" s="55" t="s">
        <v>10</v>
      </c>
      <c r="H6" s="56" t="n">
        <v>7.5</v>
      </c>
      <c r="I6" s="55"/>
      <c r="J6" s="55"/>
      <c r="K6" s="56" t="n">
        <v>2002</v>
      </c>
    </row>
    <row r="7" customFormat="false" ht="12" hidden="false" customHeight="true" outlineLevel="0" collapsed="false">
      <c r="A7" s="54" t="s">
        <v>832</v>
      </c>
      <c r="B7" s="54" t="s">
        <v>675</v>
      </c>
      <c r="C7" s="54" t="s">
        <v>189</v>
      </c>
      <c r="D7" s="54" t="n">
        <v>44203</v>
      </c>
      <c r="E7" s="54" t="n">
        <v>44247</v>
      </c>
      <c r="F7" s="55" t="n">
        <v>381</v>
      </c>
      <c r="G7" s="55" t="s">
        <v>10</v>
      </c>
      <c r="H7" s="56" t="n">
        <v>8</v>
      </c>
      <c r="I7" s="55"/>
      <c r="J7" s="55"/>
      <c r="K7" s="56" t="n">
        <v>2010</v>
      </c>
    </row>
    <row r="8" customFormat="false" ht="12" hidden="false" customHeight="true" outlineLevel="0" collapsed="false">
      <c r="A8" s="54" t="s">
        <v>833</v>
      </c>
      <c r="B8" s="54" t="s">
        <v>834</v>
      </c>
      <c r="C8" s="54" t="s">
        <v>684</v>
      </c>
      <c r="D8" s="54" t="n">
        <v>44203</v>
      </c>
      <c r="E8" s="54" t="n">
        <v>44227</v>
      </c>
      <c r="F8" s="55" t="n">
        <v>592</v>
      </c>
      <c r="G8" s="55" t="s">
        <v>24</v>
      </c>
      <c r="H8" s="56" t="n">
        <v>9</v>
      </c>
      <c r="I8" s="55"/>
      <c r="J8" s="55"/>
      <c r="K8" s="56" t="n">
        <v>1770</v>
      </c>
    </row>
    <row r="9" customFormat="false" ht="12" hidden="false" customHeight="true" outlineLevel="0" collapsed="false">
      <c r="A9" s="54" t="s">
        <v>835</v>
      </c>
      <c r="B9" s="54" t="s">
        <v>836</v>
      </c>
      <c r="C9" s="54" t="s">
        <v>684</v>
      </c>
      <c r="D9" s="54" t="n">
        <v>44219</v>
      </c>
      <c r="E9" s="54" t="n">
        <v>44254</v>
      </c>
      <c r="F9" s="55" t="n">
        <v>368</v>
      </c>
      <c r="G9" s="55" t="s">
        <v>106</v>
      </c>
      <c r="H9" s="56" t="n">
        <v>8</v>
      </c>
      <c r="I9" s="55"/>
      <c r="J9" s="55"/>
      <c r="K9" s="56" t="n">
        <v>2016</v>
      </c>
    </row>
    <row r="10" customFormat="false" ht="12" hidden="false" customHeight="true" outlineLevel="0" collapsed="false">
      <c r="A10" s="54" t="s">
        <v>837</v>
      </c>
      <c r="B10" s="54" t="s">
        <v>838</v>
      </c>
      <c r="C10" s="54" t="s">
        <v>684</v>
      </c>
      <c r="D10" s="54" t="n">
        <v>44227</v>
      </c>
      <c r="E10" s="54" t="n">
        <v>44256</v>
      </c>
      <c r="F10" s="55" t="n">
        <v>276</v>
      </c>
      <c r="G10" s="55" t="s">
        <v>10</v>
      </c>
      <c r="H10" s="56" t="n">
        <v>7</v>
      </c>
      <c r="I10" s="55"/>
      <c r="J10" s="55"/>
      <c r="K10" s="56" t="n">
        <v>1965</v>
      </c>
    </row>
    <row r="11" customFormat="false" ht="12" hidden="false" customHeight="true" outlineLevel="0" collapsed="false">
      <c r="A11" s="54" t="s">
        <v>839</v>
      </c>
      <c r="B11" s="54" t="s">
        <v>840</v>
      </c>
      <c r="C11" s="54" t="s">
        <v>189</v>
      </c>
      <c r="D11" s="54" t="n">
        <v>44247</v>
      </c>
      <c r="E11" s="54" t="n">
        <v>44282</v>
      </c>
      <c r="F11" s="55" t="n">
        <v>400</v>
      </c>
      <c r="G11" s="55" t="s">
        <v>10</v>
      </c>
      <c r="H11" s="56" t="n">
        <v>8</v>
      </c>
      <c r="I11" s="55"/>
      <c r="J11" s="55"/>
      <c r="K11" s="56" t="n">
        <v>1999</v>
      </c>
    </row>
    <row r="12" customFormat="false" ht="12" hidden="false" customHeight="true" outlineLevel="0" collapsed="false">
      <c r="A12" s="54" t="s">
        <v>841</v>
      </c>
      <c r="B12" s="54" t="s">
        <v>840</v>
      </c>
      <c r="C12" s="54" t="s">
        <v>189</v>
      </c>
      <c r="D12" s="54" t="n">
        <v>44282</v>
      </c>
      <c r="E12" s="54" t="n">
        <v>44406</v>
      </c>
      <c r="F12" s="55" t="n">
        <v>392</v>
      </c>
      <c r="G12" s="55" t="s">
        <v>10</v>
      </c>
      <c r="H12" s="56" t="n">
        <v>7</v>
      </c>
      <c r="I12" s="55"/>
      <c r="J12" s="55"/>
      <c r="K12" s="56" t="n">
        <v>1992</v>
      </c>
    </row>
    <row r="13" customFormat="false" ht="12" hidden="false" customHeight="true" outlineLevel="0" collapsed="false">
      <c r="A13" s="54" t="s">
        <v>842</v>
      </c>
      <c r="B13" s="54" t="s">
        <v>843</v>
      </c>
      <c r="C13" s="54" t="s">
        <v>684</v>
      </c>
      <c r="D13" s="54" t="n">
        <v>44289</v>
      </c>
      <c r="E13" s="54" t="n">
        <v>44294</v>
      </c>
      <c r="F13" s="55" t="n">
        <v>191</v>
      </c>
      <c r="G13" s="55" t="s">
        <v>172</v>
      </c>
      <c r="H13" s="56" t="n">
        <v>9</v>
      </c>
      <c r="I13" s="55"/>
      <c r="J13" s="55"/>
      <c r="K13" s="56" t="n">
        <v>2018</v>
      </c>
    </row>
    <row r="14" customFormat="false" ht="12" hidden="false" customHeight="true" outlineLevel="0" collapsed="false">
      <c r="A14" s="54" t="s">
        <v>844</v>
      </c>
      <c r="B14" s="54" t="s">
        <v>845</v>
      </c>
      <c r="C14" s="54" t="s">
        <v>684</v>
      </c>
      <c r="D14" s="54" t="n">
        <v>44294</v>
      </c>
      <c r="E14" s="54" t="n">
        <v>44303</v>
      </c>
      <c r="F14" s="55" t="n">
        <v>416</v>
      </c>
      <c r="G14" s="55" t="s">
        <v>10</v>
      </c>
      <c r="H14" s="56" t="n">
        <v>8</v>
      </c>
      <c r="I14" s="55"/>
      <c r="J14" s="55"/>
      <c r="K14" s="56" t="n">
        <v>2014</v>
      </c>
    </row>
    <row r="15" customFormat="false" ht="12" hidden="false" customHeight="true" outlineLevel="0" collapsed="false">
      <c r="A15" s="54" t="s">
        <v>846</v>
      </c>
      <c r="B15" s="54" t="s">
        <v>847</v>
      </c>
      <c r="C15" s="54" t="s">
        <v>684</v>
      </c>
      <c r="D15" s="54" t="n">
        <v>44303</v>
      </c>
      <c r="E15" s="54" t="n">
        <v>44364</v>
      </c>
      <c r="F15" s="55" t="n">
        <v>648</v>
      </c>
      <c r="G15" s="55" t="s">
        <v>24</v>
      </c>
      <c r="H15" s="56" t="n">
        <v>7.5</v>
      </c>
      <c r="I15" s="55"/>
      <c r="J15" s="55"/>
      <c r="K15" s="56" t="n">
        <v>2021</v>
      </c>
    </row>
    <row r="16" customFormat="false" ht="12" hidden="false" customHeight="true" outlineLevel="0" collapsed="false">
      <c r="A16" s="54" t="s">
        <v>848</v>
      </c>
      <c r="B16" s="54" t="s">
        <v>849</v>
      </c>
      <c r="C16" s="54" t="s">
        <v>684</v>
      </c>
      <c r="D16" s="54" t="n">
        <v>44364</v>
      </c>
      <c r="E16" s="54" t="n">
        <v>44373</v>
      </c>
      <c r="F16" s="55" t="n">
        <v>212</v>
      </c>
      <c r="G16" s="55" t="s">
        <v>24</v>
      </c>
      <c r="H16" s="56" t="n">
        <v>9</v>
      </c>
      <c r="I16" s="55"/>
      <c r="J16" s="55"/>
      <c r="K16" s="56" t="n">
        <v>2015</v>
      </c>
    </row>
    <row r="17" customFormat="false" ht="12" hidden="false" customHeight="true" outlineLevel="0" collapsed="false">
      <c r="A17" s="54" t="s">
        <v>850</v>
      </c>
      <c r="B17" s="54" t="s">
        <v>851</v>
      </c>
      <c r="C17" s="54" t="s">
        <v>684</v>
      </c>
      <c r="D17" s="54" t="n">
        <v>44373</v>
      </c>
      <c r="E17" s="54" t="n">
        <v>44380</v>
      </c>
      <c r="F17" s="55" t="n">
        <v>293</v>
      </c>
      <c r="G17" s="55" t="s">
        <v>24</v>
      </c>
      <c r="H17" s="56" t="n">
        <v>9</v>
      </c>
      <c r="I17" s="55"/>
      <c r="J17" s="55"/>
      <c r="K17" s="56" t="n">
        <v>2006</v>
      </c>
    </row>
    <row r="18" customFormat="false" ht="12" hidden="false" customHeight="true" outlineLevel="0" collapsed="false">
      <c r="A18" s="54" t="s">
        <v>852</v>
      </c>
      <c r="B18" s="54" t="s">
        <v>853</v>
      </c>
      <c r="C18" s="54" t="s">
        <v>684</v>
      </c>
      <c r="D18" s="54" t="n">
        <v>44380</v>
      </c>
      <c r="E18" s="54" t="n">
        <v>44422</v>
      </c>
      <c r="F18" s="55" t="n">
        <v>432</v>
      </c>
      <c r="G18" s="55" t="s">
        <v>24</v>
      </c>
      <c r="H18" s="56" t="n">
        <v>7</v>
      </c>
      <c r="I18" s="55"/>
      <c r="J18" s="55"/>
      <c r="K18" s="56" t="n">
        <v>2019</v>
      </c>
    </row>
    <row r="19" customFormat="false" ht="12" hidden="false" customHeight="true" outlineLevel="0" collapsed="false">
      <c r="A19" s="49" t="s">
        <v>854</v>
      </c>
      <c r="B19" s="49" t="s">
        <v>840</v>
      </c>
      <c r="C19" s="49" t="s">
        <v>189</v>
      </c>
      <c r="D19" s="49" t="n">
        <v>44406</v>
      </c>
      <c r="E19" s="49"/>
      <c r="F19" s="52" t="n">
        <v>384</v>
      </c>
      <c r="G19" s="52" t="s">
        <v>10</v>
      </c>
      <c r="H19" s="51"/>
      <c r="I19" s="37"/>
      <c r="J19" s="37"/>
      <c r="K19" s="51" t="n">
        <v>1984</v>
      </c>
    </row>
    <row r="20" customFormat="false" ht="12" hidden="false" customHeight="true" outlineLevel="0" collapsed="false">
      <c r="A20" s="54" t="s">
        <v>855</v>
      </c>
      <c r="B20" s="54" t="s">
        <v>670</v>
      </c>
      <c r="C20" s="54" t="s">
        <v>189</v>
      </c>
      <c r="D20" s="54" t="n">
        <v>44411</v>
      </c>
      <c r="E20" s="54" t="n">
        <v>44436</v>
      </c>
      <c r="F20" s="55" t="n">
        <v>320</v>
      </c>
      <c r="G20" s="55" t="s">
        <v>10</v>
      </c>
      <c r="H20" s="56" t="n">
        <v>7</v>
      </c>
      <c r="I20" s="55"/>
      <c r="J20" s="55"/>
      <c r="K20" s="56" t="n">
        <v>1991</v>
      </c>
    </row>
    <row r="21" customFormat="false" ht="12" hidden="false" customHeight="true" outlineLevel="0" collapsed="false">
      <c r="A21" s="54" t="s">
        <v>856</v>
      </c>
      <c r="B21" s="54" t="s">
        <v>857</v>
      </c>
      <c r="C21" s="54" t="s">
        <v>684</v>
      </c>
      <c r="D21" s="54" t="n">
        <v>44422</v>
      </c>
      <c r="E21" s="54" t="n">
        <v>44434</v>
      </c>
      <c r="F21" s="55" t="n">
        <v>360</v>
      </c>
      <c r="G21" s="55" t="s">
        <v>24</v>
      </c>
      <c r="H21" s="56"/>
      <c r="I21" s="55"/>
      <c r="J21" s="55"/>
      <c r="K21" s="56" t="n">
        <v>2016</v>
      </c>
    </row>
    <row r="22" customFormat="false" ht="12" hidden="false" customHeight="true" outlineLevel="0" collapsed="false">
      <c r="A22" s="54" t="s">
        <v>858</v>
      </c>
      <c r="B22" s="54" t="s">
        <v>752</v>
      </c>
      <c r="C22" s="54" t="s">
        <v>684</v>
      </c>
      <c r="D22" s="54" t="n">
        <v>44434</v>
      </c>
      <c r="E22" s="54" t="n">
        <v>44440</v>
      </c>
      <c r="F22" s="55" t="n">
        <v>608</v>
      </c>
      <c r="G22" s="55" t="s">
        <v>24</v>
      </c>
      <c r="H22" s="56" t="n">
        <v>8.5</v>
      </c>
      <c r="I22" s="55"/>
      <c r="J22" s="55"/>
      <c r="K22" s="56" t="n">
        <v>1979</v>
      </c>
    </row>
    <row r="23" customFormat="false" ht="12" hidden="false" customHeight="true" outlineLevel="0" collapsed="false">
      <c r="A23" s="54" t="s">
        <v>859</v>
      </c>
      <c r="B23" s="54" t="s">
        <v>860</v>
      </c>
      <c r="C23" s="54" t="s">
        <v>189</v>
      </c>
      <c r="D23" s="54" t="n">
        <v>44437</v>
      </c>
      <c r="E23" s="54" t="n">
        <v>44488</v>
      </c>
      <c r="F23" s="55" t="n">
        <v>288</v>
      </c>
      <c r="G23" s="55" t="s">
        <v>10</v>
      </c>
      <c r="H23" s="56" t="n">
        <v>6</v>
      </c>
      <c r="I23" s="55"/>
      <c r="J23" s="55"/>
      <c r="K23" s="56" t="n">
        <v>1968</v>
      </c>
    </row>
    <row r="24" customFormat="false" ht="12" hidden="false" customHeight="true" outlineLevel="0" collapsed="false">
      <c r="A24" s="54" t="s">
        <v>861</v>
      </c>
      <c r="B24" s="54" t="s">
        <v>495</v>
      </c>
      <c r="C24" s="54" t="s">
        <v>684</v>
      </c>
      <c r="D24" s="54" t="n">
        <v>44440</v>
      </c>
      <c r="E24" s="54" t="n">
        <v>44460</v>
      </c>
      <c r="F24" s="55" t="n">
        <v>264</v>
      </c>
      <c r="G24" s="55" t="s">
        <v>862</v>
      </c>
      <c r="H24" s="56" t="n">
        <v>9</v>
      </c>
      <c r="I24" s="55"/>
      <c r="J24" s="55"/>
      <c r="K24" s="56" t="n">
        <v>1940</v>
      </c>
    </row>
    <row r="25" customFormat="false" ht="12" hidden="false" customHeight="true" outlineLevel="0" collapsed="false">
      <c r="A25" s="54" t="s">
        <v>863</v>
      </c>
      <c r="B25" s="54" t="s">
        <v>864</v>
      </c>
      <c r="C25" s="54" t="s">
        <v>684</v>
      </c>
      <c r="D25" s="54" t="n">
        <v>44460</v>
      </c>
      <c r="E25" s="54" t="n">
        <v>44461</v>
      </c>
      <c r="F25" s="55" t="n">
        <v>126</v>
      </c>
      <c r="G25" s="55" t="s">
        <v>24</v>
      </c>
      <c r="H25" s="56" t="n">
        <v>4</v>
      </c>
      <c r="I25" s="55"/>
      <c r="J25" s="55"/>
      <c r="K25" s="56" t="n">
        <v>2016</v>
      </c>
    </row>
    <row r="26" customFormat="false" ht="12" hidden="false" customHeight="true" outlineLevel="0" collapsed="false">
      <c r="A26" s="54" t="s">
        <v>865</v>
      </c>
      <c r="B26" s="54" t="s">
        <v>866</v>
      </c>
      <c r="C26" s="54" t="s">
        <v>684</v>
      </c>
      <c r="D26" s="54" t="n">
        <v>44461</v>
      </c>
      <c r="E26" s="54" t="n">
        <v>44471</v>
      </c>
      <c r="F26" s="55" t="n">
        <v>220</v>
      </c>
      <c r="G26" s="55" t="s">
        <v>24</v>
      </c>
      <c r="H26" s="56" t="n">
        <v>5</v>
      </c>
      <c r="I26" s="55"/>
      <c r="J26" s="55"/>
      <c r="K26" s="56" t="n">
        <v>2021</v>
      </c>
    </row>
    <row r="27" customFormat="false" ht="12" hidden="false" customHeight="true" outlineLevel="0" collapsed="false">
      <c r="A27" s="54" t="s">
        <v>867</v>
      </c>
      <c r="B27" s="54" t="s">
        <v>245</v>
      </c>
      <c r="C27" s="54" t="s">
        <v>684</v>
      </c>
      <c r="D27" s="54" t="n">
        <v>44472</v>
      </c>
      <c r="E27" s="54" t="n">
        <v>44475</v>
      </c>
      <c r="F27" s="55" t="n">
        <v>144</v>
      </c>
      <c r="G27" s="55" t="s">
        <v>24</v>
      </c>
      <c r="H27" s="56" t="n">
        <v>9</v>
      </c>
      <c r="I27" s="55"/>
      <c r="J27" s="55"/>
      <c r="K27" s="56" t="n">
        <v>1931</v>
      </c>
    </row>
    <row r="28" customFormat="false" ht="12" hidden="false" customHeight="true" outlineLevel="0" collapsed="false">
      <c r="A28" s="54" t="s">
        <v>868</v>
      </c>
      <c r="B28" s="54" t="s">
        <v>869</v>
      </c>
      <c r="C28" s="54" t="s">
        <v>684</v>
      </c>
      <c r="D28" s="54" t="n">
        <v>44475</v>
      </c>
      <c r="E28" s="54" t="n">
        <v>44523</v>
      </c>
      <c r="F28" s="55" t="n">
        <v>173</v>
      </c>
      <c r="G28" s="55" t="s">
        <v>862</v>
      </c>
      <c r="H28" s="56" t="n">
        <v>8</v>
      </c>
      <c r="I28" s="55"/>
      <c r="J28" s="55"/>
      <c r="K28" s="56" t="n">
        <v>1998</v>
      </c>
    </row>
    <row r="29" customFormat="false" ht="12" hidden="false" customHeight="true" outlineLevel="0" collapsed="false">
      <c r="A29" s="54" t="s">
        <v>870</v>
      </c>
      <c r="B29" s="54" t="s">
        <v>817</v>
      </c>
      <c r="C29" s="54" t="s">
        <v>189</v>
      </c>
      <c r="D29" s="54" t="n">
        <v>44489</v>
      </c>
      <c r="E29" s="54" t="n">
        <v>44554</v>
      </c>
      <c r="F29" s="55" t="n">
        <v>212</v>
      </c>
      <c r="G29" s="55" t="s">
        <v>10</v>
      </c>
      <c r="H29" s="56" t="n">
        <v>5</v>
      </c>
      <c r="I29" s="55"/>
      <c r="J29" s="55"/>
      <c r="K29" s="56" t="n">
        <v>1973</v>
      </c>
    </row>
    <row r="30" customFormat="false" ht="12" hidden="false" customHeight="true" outlineLevel="0" collapsed="false">
      <c r="A30" s="54" t="s">
        <v>871</v>
      </c>
      <c r="B30" s="54" t="s">
        <v>872</v>
      </c>
      <c r="C30" s="54" t="s">
        <v>684</v>
      </c>
      <c r="D30" s="54" t="n">
        <v>44523</v>
      </c>
      <c r="E30" s="54" t="n">
        <v>44553</v>
      </c>
      <c r="F30" s="55" t="n">
        <v>304</v>
      </c>
      <c r="G30" s="55" t="s">
        <v>24</v>
      </c>
      <c r="H30" s="56" t="n">
        <v>8</v>
      </c>
      <c r="I30" s="55"/>
      <c r="J30" s="55"/>
      <c r="K30" s="56" t="n">
        <v>2013</v>
      </c>
    </row>
    <row r="31" customFormat="false" ht="12" hidden="false" customHeight="true" outlineLevel="0" collapsed="false">
      <c r="F31" s="32" t="n">
        <f aca="false">SUMIFS(F2:F29,E2:E29,"&gt;0")</f>
        <v>7908</v>
      </c>
      <c r="G31" s="33"/>
      <c r="H31" s="34" t="n">
        <f aca="false">GEOMEAN(H2:H29)</f>
        <v>7.34961671494659</v>
      </c>
      <c r="I31" s="37" t="e">
        <f aca="false">NA()</f>
        <v>#N/A</v>
      </c>
      <c r="J31" s="37" t="e">
        <f aca="false">NA()</f>
        <v>#N/A</v>
      </c>
      <c r="K31" s="34"/>
    </row>
    <row r="32" customFormat="false" ht="12" hidden="false" customHeight="true" outlineLevel="0" collapsed="false">
      <c r="A32" s="24" t="s">
        <v>275</v>
      </c>
      <c r="I32" s="37" t="e">
        <f aca="false">NA()</f>
        <v>#N/A</v>
      </c>
      <c r="J32" s="37" t="e">
        <f aca="false">NA()</f>
        <v>#N/A</v>
      </c>
    </row>
    <row r="33" customFormat="false" ht="24" hidden="false" customHeight="true" outlineLevel="0" collapsed="false">
      <c r="A33" s="6" t="s">
        <v>277</v>
      </c>
      <c r="B33" s="6" t="s">
        <v>278</v>
      </c>
      <c r="C33" s="6" t="s">
        <v>279</v>
      </c>
      <c r="D33" s="6" t="s">
        <v>280</v>
      </c>
      <c r="I33" s="37" t="e">
        <f aca="false">NA()</f>
        <v>#N/A</v>
      </c>
      <c r="J33" s="37" t="e">
        <f aca="false">NA()</f>
        <v>#N/A</v>
      </c>
    </row>
    <row r="34" customFormat="false" ht="12" hidden="false" customHeight="true" outlineLevel="0" collapsed="false">
      <c r="A34" s="6" t="n">
        <f aca="false">COUNTIF(E2:E29,"&gt;0")</f>
        <v>24</v>
      </c>
      <c r="B34" s="6" t="n">
        <f aca="false">ROUND(F31/A34,0)</f>
        <v>330</v>
      </c>
      <c r="C34" s="6" t="e">
        <f aca="false">INDEX(J3:J55,MATCH(MAX(I3:I55),I3:I55,0),1)</f>
        <v>#N/A</v>
      </c>
      <c r="D34" s="6"/>
      <c r="I34" s="37" t="e">
        <f aca="false">NA()</f>
        <v>#N/A</v>
      </c>
      <c r="J34" s="37" t="e">
        <f aca="false">NA()</f>
        <v>#N/A</v>
      </c>
    </row>
    <row r="35" customFormat="false" ht="12" hidden="false" customHeight="true" outlineLevel="0" collapsed="false">
      <c r="I35" s="37" t="e">
        <f aca="false">NA()</f>
        <v>#N/A</v>
      </c>
      <c r="J35" s="37" t="e">
        <f aca="false">NA()</f>
        <v>#N/A</v>
      </c>
    </row>
    <row r="36" customFormat="false" ht="12" hidden="false" customHeight="true" outlineLevel="0" collapsed="false">
      <c r="I36" s="37" t="e">
        <f aca="false">NA()</f>
        <v>#N/A</v>
      </c>
      <c r="J36" s="37" t="e">
        <f aca="false">NA()</f>
        <v>#N/A</v>
      </c>
    </row>
    <row r="37" customFormat="false" ht="12" hidden="false" customHeight="true" outlineLevel="0" collapsed="false">
      <c r="I37" s="37" t="e">
        <f aca="false">NA()</f>
        <v>#N/A</v>
      </c>
      <c r="J37" s="37" t="e">
        <f aca="false">NA()</f>
        <v>#N/A</v>
      </c>
    </row>
    <row r="38" customFormat="false" ht="12" hidden="false" customHeight="true" outlineLevel="0" collapsed="false">
      <c r="I38" s="37" t="e">
        <f aca="false">NA()</f>
        <v>#N/A</v>
      </c>
      <c r="J38" s="37" t="e">
        <f aca="false">NA()</f>
        <v>#N/A</v>
      </c>
    </row>
    <row r="39" customFormat="false" ht="12" hidden="false" customHeight="true" outlineLevel="0" collapsed="false">
      <c r="I39" s="37" t="e">
        <f aca="false">NA()</f>
        <v>#N/A</v>
      </c>
      <c r="J39" s="37" t="e">
        <f aca="false">NA()</f>
        <v>#N/A</v>
      </c>
    </row>
    <row r="40" customFormat="false" ht="12" hidden="false" customHeight="true" outlineLevel="0" collapsed="false">
      <c r="I40" s="37" t="e">
        <f aca="false">NA()</f>
        <v>#N/A</v>
      </c>
      <c r="J40" s="37" t="e">
        <f aca="false">NA()</f>
        <v>#N/A</v>
      </c>
    </row>
    <row r="41" customFormat="false" ht="12" hidden="false" customHeight="true" outlineLevel="0" collapsed="false">
      <c r="I41" s="37" t="e">
        <f aca="false">NA()</f>
        <v>#N/A</v>
      </c>
      <c r="J41" s="37" t="e">
        <f aca="false">NA()</f>
        <v>#N/A</v>
      </c>
    </row>
    <row r="42" customFormat="false" ht="12" hidden="false" customHeight="true" outlineLevel="0" collapsed="false">
      <c r="I42" s="37" t="e">
        <f aca="false">NA()</f>
        <v>#N/A</v>
      </c>
      <c r="J42" s="37" t="e">
        <f aca="false">NA()</f>
        <v>#N/A</v>
      </c>
    </row>
    <row r="43" customFormat="false" ht="12" hidden="false" customHeight="true" outlineLevel="0" collapsed="false">
      <c r="I43" s="37" t="e">
        <f aca="false">NA()</f>
        <v>#N/A</v>
      </c>
      <c r="J43" s="37" t="e">
        <f aca="false">NA()</f>
        <v>#N/A</v>
      </c>
    </row>
    <row r="44" customFormat="false" ht="12" hidden="false" customHeight="true" outlineLevel="0" collapsed="false">
      <c r="I44" s="37" t="e">
        <f aca="false">NA()</f>
        <v>#N/A</v>
      </c>
      <c r="J44" s="37" t="e">
        <f aca="false">NA()</f>
        <v>#N/A</v>
      </c>
    </row>
    <row r="45" customFormat="false" ht="12" hidden="false" customHeight="true" outlineLevel="0" collapsed="false">
      <c r="I45" s="37" t="e">
        <f aca="false">NA()</f>
        <v>#N/A</v>
      </c>
      <c r="J45" s="37" t="e">
        <f aca="false">NA()</f>
        <v>#N/A</v>
      </c>
    </row>
    <row r="46" customFormat="false" ht="12" hidden="false" customHeight="true" outlineLevel="0" collapsed="false">
      <c r="I46" s="37" t="e">
        <f aca="false">NA()</f>
        <v>#N/A</v>
      </c>
      <c r="J46" s="37" t="e">
        <f aca="false">NA()</f>
        <v>#N/A</v>
      </c>
    </row>
    <row r="47" customFormat="false" ht="12" hidden="false" customHeight="true" outlineLevel="0" collapsed="false">
      <c r="I47" s="37" t="e">
        <f aca="false">NA()</f>
        <v>#N/A</v>
      </c>
      <c r="J47" s="37" t="e">
        <f aca="false">NA()</f>
        <v>#N/A</v>
      </c>
    </row>
    <row r="48" customFormat="false" ht="12" hidden="false" customHeight="true" outlineLevel="0" collapsed="false">
      <c r="I48" s="37" t="e">
        <f aca="false">NA()</f>
        <v>#N/A</v>
      </c>
      <c r="J48" s="37" t="e">
        <f aca="false">NA()</f>
        <v>#N/A</v>
      </c>
    </row>
    <row r="49" customFormat="false" ht="12" hidden="false" customHeight="true" outlineLevel="0" collapsed="false">
      <c r="I49" s="37" t="e">
        <f aca="false">NA()</f>
        <v>#N/A</v>
      </c>
      <c r="J49" s="37" t="e">
        <f aca="false">NA()</f>
        <v>#N/A</v>
      </c>
    </row>
    <row r="50" customFormat="false" ht="12" hidden="false" customHeight="true" outlineLevel="0" collapsed="false">
      <c r="I50" s="37" t="e">
        <f aca="false">NA()</f>
        <v>#N/A</v>
      </c>
      <c r="J50" s="37" t="e">
        <f aca="false">NA()</f>
        <v>#N/A</v>
      </c>
    </row>
    <row r="51" customFormat="false" ht="12" hidden="false" customHeight="true" outlineLevel="0" collapsed="false">
      <c r="I51" s="37" t="e">
        <f aca="false">NA()</f>
        <v>#N/A</v>
      </c>
      <c r="J51" s="37" t="e">
        <f aca="false">NA()</f>
        <v>#N/A</v>
      </c>
    </row>
    <row r="52" customFormat="false" ht="12" hidden="false" customHeight="true" outlineLevel="0" collapsed="false">
      <c r="I52" s="37" t="e">
        <f aca="false">NA()</f>
        <v>#N/A</v>
      </c>
      <c r="J52" s="37" t="e">
        <f aca="false">NA()</f>
        <v>#N/A</v>
      </c>
    </row>
    <row r="53" customFormat="false" ht="12" hidden="false" customHeight="true" outlineLevel="0" collapsed="false">
      <c r="I53" s="37" t="e">
        <f aca="false">NA()</f>
        <v>#N/A</v>
      </c>
      <c r="J53" s="37" t="e">
        <f aca="false">NA()</f>
        <v>#N/A</v>
      </c>
    </row>
    <row r="54" customFormat="false" ht="12" hidden="false" customHeight="true" outlineLevel="0" collapsed="false">
      <c r="I54" s="37" t="e">
        <f aca="false">NA()</f>
        <v>#N/A</v>
      </c>
      <c r="J54" s="37" t="e">
        <f aca="false">NA()</f>
        <v>#N/A</v>
      </c>
    </row>
    <row r="55" customFormat="false" ht="12" hidden="false" customHeight="true" outlineLevel="0" collapsed="false">
      <c r="I55" s="37" t="e">
        <f aca="false">NA()</f>
        <v>#N/A</v>
      </c>
      <c r="J55" s="37" t="e">
        <f aca="false">NA()</f>
        <v>#N/A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8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31" activeCellId="0" sqref="B31"/>
    </sheetView>
  </sheetViews>
  <sheetFormatPr defaultColWidth="10.5" defaultRowHeight="12" zeroHeight="false" outlineLevelRow="0" outlineLevelCol="0"/>
  <cols>
    <col collapsed="false" customWidth="true" hidden="false" outlineLevel="0" max="1" min="1" style="0" width="40.5"/>
    <col collapsed="false" customWidth="true" hidden="false" outlineLevel="0" max="2" min="2" style="0" width="27.49"/>
    <col collapsed="false" customWidth="true" hidden="false" outlineLevel="0" max="3" min="3" style="0" width="6.5"/>
    <col collapsed="false" customWidth="true" hidden="false" outlineLevel="0" max="4" min="4" style="0" width="11.5"/>
    <col collapsed="false" customWidth="true" hidden="false" outlineLevel="0" max="6" min="6" style="0" width="11.5"/>
    <col collapsed="false" customWidth="true" hidden="false" outlineLevel="0" max="8" min="8" style="0" width="14.49"/>
    <col collapsed="false" customWidth="false" hidden="true" outlineLevel="0" max="10" min="9" style="0" width="10.5"/>
    <col collapsed="false" customWidth="true" hidden="false" outlineLevel="0" max="11" min="11" style="0" width="22.49"/>
  </cols>
  <sheetData>
    <row r="1" s="6" customFormat="true" ht="12.75" hidden="false" customHeight="true" outlineLevel="0" collapsed="false">
      <c r="A1" s="24" t="s">
        <v>0</v>
      </c>
      <c r="B1" s="25" t="s">
        <v>1</v>
      </c>
      <c r="C1" s="25" t="s">
        <v>2</v>
      </c>
      <c r="D1" s="26" t="s">
        <v>3</v>
      </c>
      <c r="E1" s="27" t="s">
        <v>4</v>
      </c>
      <c r="F1" s="26" t="s">
        <v>5</v>
      </c>
      <c r="G1" s="27" t="s">
        <v>6</v>
      </c>
      <c r="H1" s="28" t="s">
        <v>7</v>
      </c>
      <c r="I1" s="35" t="s">
        <v>281</v>
      </c>
      <c r="J1" s="36" t="s">
        <v>1</v>
      </c>
      <c r="K1" s="28" t="s">
        <v>513</v>
      </c>
    </row>
    <row r="2" customFormat="false" ht="12" hidden="false" customHeight="true" outlineLevel="0" collapsed="false">
      <c r="A2" s="49" t="s">
        <v>725</v>
      </c>
      <c r="B2" s="49" t="s">
        <v>426</v>
      </c>
      <c r="C2" s="49" t="s">
        <v>189</v>
      </c>
      <c r="D2" s="49" t="n">
        <v>43318</v>
      </c>
      <c r="E2" s="49"/>
      <c r="F2" s="52" t="n">
        <v>304</v>
      </c>
      <c r="G2" s="52" t="s">
        <v>10</v>
      </c>
      <c r="H2" s="51"/>
      <c r="I2" s="37"/>
      <c r="J2" s="37"/>
      <c r="K2" s="51" t="n">
        <v>1969</v>
      </c>
    </row>
    <row r="3" customFormat="false" ht="12" hidden="false" customHeight="true" outlineLevel="0" collapsed="false">
      <c r="A3" s="49" t="s">
        <v>579</v>
      </c>
      <c r="B3" s="49" t="s">
        <v>786</v>
      </c>
      <c r="C3" s="49" t="s">
        <v>189</v>
      </c>
      <c r="D3" s="49" t="n">
        <v>43976</v>
      </c>
      <c r="E3" s="49"/>
      <c r="F3" s="52" t="n">
        <v>1051</v>
      </c>
      <c r="G3" s="52" t="s">
        <v>58</v>
      </c>
      <c r="H3" s="51"/>
      <c r="I3" s="37"/>
      <c r="J3" s="37"/>
      <c r="K3" s="51" t="n">
        <v>1632</v>
      </c>
    </row>
    <row r="4" customFormat="false" ht="12" hidden="false" customHeight="true" outlineLevel="0" collapsed="false">
      <c r="A4" s="49" t="s">
        <v>808</v>
      </c>
      <c r="B4" s="49" t="s">
        <v>809</v>
      </c>
      <c r="C4" s="49" t="s">
        <v>189</v>
      </c>
      <c r="D4" s="49" t="n">
        <v>44054</v>
      </c>
      <c r="E4" s="49"/>
      <c r="F4" s="52" t="n">
        <v>1383</v>
      </c>
      <c r="G4" s="52" t="s">
        <v>58</v>
      </c>
      <c r="H4" s="51"/>
      <c r="I4" s="37"/>
      <c r="J4" s="37"/>
      <c r="K4" s="51" t="n">
        <v>-430</v>
      </c>
    </row>
    <row r="5" customFormat="false" ht="12" hidden="false" customHeight="true" outlineLevel="0" collapsed="false">
      <c r="A5" s="49" t="s">
        <v>854</v>
      </c>
      <c r="B5" s="49" t="s">
        <v>840</v>
      </c>
      <c r="C5" s="49" t="s">
        <v>189</v>
      </c>
      <c r="D5" s="49" t="n">
        <v>44406</v>
      </c>
      <c r="E5" s="49"/>
      <c r="F5" s="52" t="n">
        <v>384</v>
      </c>
      <c r="G5" s="52" t="s">
        <v>10</v>
      </c>
      <c r="H5" s="51"/>
      <c r="I5" s="37"/>
      <c r="J5" s="37"/>
      <c r="K5" s="51" t="n">
        <v>1984</v>
      </c>
    </row>
    <row r="6" customFormat="false" ht="12" hidden="false" customHeight="true" outlineLevel="0" collapsed="false">
      <c r="A6" s="54" t="s">
        <v>873</v>
      </c>
      <c r="B6" s="54" t="s">
        <v>633</v>
      </c>
      <c r="C6" s="54" t="s">
        <v>189</v>
      </c>
      <c r="D6" s="54" t="n">
        <v>44554</v>
      </c>
      <c r="E6" s="54" t="n">
        <v>44651</v>
      </c>
      <c r="F6" s="55" t="n">
        <v>296</v>
      </c>
      <c r="G6" s="55" t="s">
        <v>10</v>
      </c>
      <c r="H6" s="56" t="n">
        <v>5</v>
      </c>
      <c r="I6" s="55"/>
      <c r="J6" s="55"/>
      <c r="K6" s="56" t="n">
        <v>2000</v>
      </c>
    </row>
    <row r="7" customFormat="false" ht="12" hidden="false" customHeight="true" outlineLevel="0" collapsed="false">
      <c r="A7" s="54" t="s">
        <v>874</v>
      </c>
      <c r="B7" s="54" t="s">
        <v>875</v>
      </c>
      <c r="C7" s="54" t="s">
        <v>684</v>
      </c>
      <c r="D7" s="54" t="n">
        <v>44572</v>
      </c>
      <c r="E7" s="54" t="n">
        <v>44587</v>
      </c>
      <c r="F7" s="55" t="n">
        <v>400</v>
      </c>
      <c r="G7" s="55" t="s">
        <v>24</v>
      </c>
      <c r="H7" s="56" t="n">
        <v>9</v>
      </c>
      <c r="I7" s="55"/>
      <c r="J7" s="55"/>
      <c r="K7" s="56" t="n">
        <v>2012</v>
      </c>
    </row>
    <row r="8" customFormat="false" ht="12" hidden="false" customHeight="true" outlineLevel="0" collapsed="false">
      <c r="A8" s="54" t="s">
        <v>876</v>
      </c>
      <c r="B8" s="54" t="s">
        <v>539</v>
      </c>
      <c r="C8" s="54" t="s">
        <v>684</v>
      </c>
      <c r="D8" s="54" t="n">
        <v>44587</v>
      </c>
      <c r="E8" s="54" t="n">
        <v>44602</v>
      </c>
      <c r="F8" s="55" t="n">
        <v>544</v>
      </c>
      <c r="G8" s="55" t="s">
        <v>10</v>
      </c>
      <c r="H8" s="56" t="n">
        <v>8</v>
      </c>
      <c r="I8" s="55"/>
      <c r="J8" s="55"/>
      <c r="K8" s="56" t="n">
        <v>2021</v>
      </c>
    </row>
    <row r="9" customFormat="false" ht="12" hidden="false" customHeight="true" outlineLevel="0" collapsed="false">
      <c r="A9" s="54" t="s">
        <v>877</v>
      </c>
      <c r="B9" s="54" t="s">
        <v>878</v>
      </c>
      <c r="C9" s="54" t="s">
        <v>684</v>
      </c>
      <c r="D9" s="54" t="n">
        <v>44602</v>
      </c>
      <c r="E9" s="54" t="n">
        <v>44605</v>
      </c>
      <c r="F9" s="55" t="n">
        <v>289</v>
      </c>
      <c r="G9" s="55" t="s">
        <v>24</v>
      </c>
      <c r="H9" s="56" t="n">
        <v>9</v>
      </c>
      <c r="I9" s="55"/>
      <c r="J9" s="55"/>
      <c r="K9" s="56" t="n">
        <v>1981</v>
      </c>
    </row>
    <row r="10" customFormat="false" ht="12" hidden="false" customHeight="true" outlineLevel="0" collapsed="false">
      <c r="A10" s="54" t="s">
        <v>879</v>
      </c>
      <c r="B10" s="54" t="s">
        <v>880</v>
      </c>
      <c r="C10" s="54" t="s">
        <v>684</v>
      </c>
      <c r="D10" s="54" t="n">
        <v>44605</v>
      </c>
      <c r="E10" s="54" t="n">
        <v>44610</v>
      </c>
      <c r="F10" s="55" t="n">
        <v>76</v>
      </c>
      <c r="G10" s="55" t="s">
        <v>172</v>
      </c>
      <c r="H10" s="56" t="n">
        <v>6</v>
      </c>
      <c r="I10" s="55"/>
      <c r="J10" s="55"/>
      <c r="K10" s="56" t="n">
        <v>2021</v>
      </c>
    </row>
    <row r="11" customFormat="false" ht="12" hidden="false" customHeight="true" outlineLevel="0" collapsed="false">
      <c r="A11" s="54" t="s">
        <v>881</v>
      </c>
      <c r="B11" s="54" t="s">
        <v>882</v>
      </c>
      <c r="C11" s="54" t="s">
        <v>684</v>
      </c>
      <c r="D11" s="54" t="n">
        <v>44610</v>
      </c>
      <c r="E11" s="54" t="n">
        <v>44624</v>
      </c>
      <c r="F11" s="55" t="n">
        <v>344</v>
      </c>
      <c r="G11" s="55" t="s">
        <v>24</v>
      </c>
      <c r="H11" s="56" t="n">
        <v>9</v>
      </c>
      <c r="I11" s="55"/>
      <c r="J11" s="55"/>
      <c r="K11" s="56" t="n">
        <v>2019</v>
      </c>
    </row>
    <row r="12" customFormat="false" ht="12" hidden="false" customHeight="true" outlineLevel="0" collapsed="false">
      <c r="A12" s="54" t="s">
        <v>883</v>
      </c>
      <c r="B12" s="54" t="s">
        <v>884</v>
      </c>
      <c r="C12" s="54" t="s">
        <v>684</v>
      </c>
      <c r="D12" s="54" t="n">
        <v>44624</v>
      </c>
      <c r="E12" s="54" t="n">
        <v>44648</v>
      </c>
      <c r="F12" s="55" t="n">
        <v>480</v>
      </c>
      <c r="G12" s="55" t="s">
        <v>560</v>
      </c>
      <c r="H12" s="56" t="n">
        <v>9</v>
      </c>
      <c r="I12" s="55"/>
      <c r="J12" s="55"/>
      <c r="K12" s="56" t="n">
        <v>1993</v>
      </c>
    </row>
    <row r="13" customFormat="false" ht="12" hidden="false" customHeight="true" outlineLevel="0" collapsed="false">
      <c r="A13" s="49" t="s">
        <v>885</v>
      </c>
      <c r="B13" s="49" t="s">
        <v>886</v>
      </c>
      <c r="C13" s="49" t="s">
        <v>684</v>
      </c>
      <c r="D13" s="49" t="n">
        <v>44649</v>
      </c>
      <c r="E13" s="49"/>
      <c r="F13" s="52" t="n">
        <v>392</v>
      </c>
      <c r="G13" s="52" t="s">
        <v>24</v>
      </c>
      <c r="H13" s="51"/>
      <c r="I13" s="37"/>
      <c r="J13" s="37"/>
      <c r="K13" s="51" t="n">
        <v>1854</v>
      </c>
    </row>
    <row r="14" customFormat="false" ht="12" hidden="false" customHeight="true" outlineLevel="0" collapsed="false">
      <c r="A14" s="54" t="s">
        <v>887</v>
      </c>
      <c r="B14" s="54" t="s">
        <v>888</v>
      </c>
      <c r="C14" s="54" t="s">
        <v>189</v>
      </c>
      <c r="D14" s="54" t="n">
        <v>44651</v>
      </c>
      <c r="E14" s="54" t="n">
        <v>44653</v>
      </c>
      <c r="F14" s="55" t="n">
        <v>320</v>
      </c>
      <c r="G14" s="55" t="s">
        <v>10</v>
      </c>
      <c r="H14" s="56" t="n">
        <v>9</v>
      </c>
      <c r="I14" s="55"/>
      <c r="J14" s="55"/>
      <c r="K14" s="56" t="n">
        <v>1985</v>
      </c>
    </row>
    <row r="15" customFormat="false" ht="12" hidden="false" customHeight="true" outlineLevel="0" collapsed="false">
      <c r="A15" s="54" t="s">
        <v>889</v>
      </c>
      <c r="B15" s="54" t="s">
        <v>649</v>
      </c>
      <c r="C15" s="54" t="s">
        <v>189</v>
      </c>
      <c r="D15" s="54" t="n">
        <v>44653</v>
      </c>
      <c r="E15" s="54" t="n">
        <v>44656</v>
      </c>
      <c r="F15" s="55" t="n">
        <v>400</v>
      </c>
      <c r="G15" s="55" t="s">
        <v>10</v>
      </c>
      <c r="H15" s="56" t="n">
        <v>9</v>
      </c>
      <c r="I15" s="55"/>
      <c r="J15" s="55"/>
      <c r="K15" s="56" t="n">
        <v>2006</v>
      </c>
    </row>
    <row r="16" customFormat="false" ht="12" hidden="false" customHeight="true" outlineLevel="0" collapsed="false">
      <c r="A16" s="54" t="s">
        <v>890</v>
      </c>
      <c r="B16" s="54" t="s">
        <v>649</v>
      </c>
      <c r="C16" s="54" t="s">
        <v>189</v>
      </c>
      <c r="D16" s="54" t="n">
        <v>44656</v>
      </c>
      <c r="E16" s="54" t="n">
        <v>44666</v>
      </c>
      <c r="F16" s="55" t="n">
        <v>392</v>
      </c>
      <c r="G16" s="55" t="s">
        <v>10</v>
      </c>
      <c r="H16" s="56" t="n">
        <v>8</v>
      </c>
      <c r="I16" s="55"/>
      <c r="J16" s="55"/>
      <c r="K16" s="56" t="n">
        <v>2011</v>
      </c>
    </row>
    <row r="17" customFormat="false" ht="12" hidden="false" customHeight="true" outlineLevel="0" collapsed="false">
      <c r="A17" s="54" t="s">
        <v>891</v>
      </c>
      <c r="B17" s="54" t="s">
        <v>649</v>
      </c>
      <c r="C17" s="54" t="s">
        <v>189</v>
      </c>
      <c r="D17" s="54" t="n">
        <v>44666</v>
      </c>
      <c r="E17" s="54" t="n">
        <v>44694</v>
      </c>
      <c r="F17" s="55" t="n">
        <v>392</v>
      </c>
      <c r="G17" s="55" t="s">
        <v>10</v>
      </c>
      <c r="H17" s="56" t="n">
        <v>8</v>
      </c>
      <c r="I17" s="55"/>
      <c r="J17" s="55"/>
      <c r="K17" s="56" t="n">
        <v>2016</v>
      </c>
    </row>
    <row r="18" customFormat="false" ht="12" hidden="false" customHeight="true" outlineLevel="0" collapsed="false">
      <c r="A18" s="54" t="s">
        <v>892</v>
      </c>
      <c r="B18" s="54" t="s">
        <v>893</v>
      </c>
      <c r="C18" s="54" t="s">
        <v>189</v>
      </c>
      <c r="D18" s="54" t="n">
        <v>44694</v>
      </c>
      <c r="E18" s="54" t="n">
        <v>44710</v>
      </c>
      <c r="F18" s="55" t="n">
        <v>240</v>
      </c>
      <c r="G18" s="55" t="s">
        <v>24</v>
      </c>
      <c r="H18" s="56" t="n">
        <v>7</v>
      </c>
      <c r="I18" s="55"/>
      <c r="J18" s="55"/>
      <c r="K18" s="56" t="n">
        <v>2012</v>
      </c>
    </row>
    <row r="19" customFormat="false" ht="12" hidden="false" customHeight="true" outlineLevel="0" collapsed="false">
      <c r="A19" s="54" t="s">
        <v>894</v>
      </c>
      <c r="B19" s="54" t="s">
        <v>261</v>
      </c>
      <c r="C19" s="54" t="s">
        <v>189</v>
      </c>
      <c r="D19" s="54" t="n">
        <v>44696</v>
      </c>
      <c r="E19" s="54" t="n">
        <v>44707</v>
      </c>
      <c r="F19" s="55" t="n">
        <v>656</v>
      </c>
      <c r="G19" s="55" t="s">
        <v>58</v>
      </c>
      <c r="H19" s="56" t="n">
        <v>8</v>
      </c>
      <c r="I19" s="55"/>
      <c r="J19" s="55"/>
      <c r="K19" s="56" t="n">
        <v>1968</v>
      </c>
    </row>
    <row r="20" customFormat="false" ht="12" hidden="false" customHeight="true" outlineLevel="0" collapsed="false">
      <c r="A20" s="54" t="s">
        <v>895</v>
      </c>
      <c r="B20" s="54" t="s">
        <v>896</v>
      </c>
      <c r="C20" s="54" t="s">
        <v>189</v>
      </c>
      <c r="D20" s="54" t="n">
        <v>44710</v>
      </c>
      <c r="E20" s="54" t="n">
        <v>44735</v>
      </c>
      <c r="F20" s="55" t="n">
        <v>582</v>
      </c>
      <c r="G20" s="55" t="s">
        <v>58</v>
      </c>
      <c r="H20" s="56" t="n">
        <v>6</v>
      </c>
      <c r="I20" s="55"/>
      <c r="J20" s="55"/>
      <c r="K20" s="56" t="n">
        <v>2009</v>
      </c>
    </row>
    <row r="21" customFormat="false" ht="12" hidden="false" customHeight="true" outlineLevel="0" collapsed="false">
      <c r="A21" s="49" t="s">
        <v>897</v>
      </c>
      <c r="B21" s="49" t="s">
        <v>898</v>
      </c>
      <c r="C21" s="49" t="s">
        <v>189</v>
      </c>
      <c r="D21" s="49" t="n">
        <v>44735</v>
      </c>
      <c r="E21" s="49"/>
      <c r="F21" s="52" t="n">
        <v>446</v>
      </c>
      <c r="G21" s="52" t="s">
        <v>58</v>
      </c>
      <c r="H21" s="51"/>
      <c r="I21" s="37"/>
      <c r="J21" s="37"/>
      <c r="K21" s="51" t="n">
        <v>70</v>
      </c>
    </row>
    <row r="22" customFormat="false" ht="12" hidden="false" customHeight="true" outlineLevel="0" collapsed="false">
      <c r="A22" s="54" t="s">
        <v>899</v>
      </c>
      <c r="B22" s="54" t="s">
        <v>900</v>
      </c>
      <c r="C22" s="54" t="s">
        <v>189</v>
      </c>
      <c r="D22" s="54" t="n">
        <v>44740</v>
      </c>
      <c r="E22" s="54" t="n">
        <v>44751</v>
      </c>
      <c r="F22" s="55" t="n">
        <v>432</v>
      </c>
      <c r="G22" s="55" t="s">
        <v>10</v>
      </c>
      <c r="H22" s="56" t="n">
        <v>7</v>
      </c>
      <c r="I22" s="55"/>
      <c r="J22" s="55"/>
      <c r="K22" s="56" t="n">
        <v>2007</v>
      </c>
    </row>
    <row r="23" customFormat="false" ht="12" hidden="false" customHeight="true" outlineLevel="0" collapsed="false">
      <c r="A23" s="54" t="s">
        <v>901</v>
      </c>
      <c r="B23" s="54" t="s">
        <v>902</v>
      </c>
      <c r="C23" s="54" t="s">
        <v>189</v>
      </c>
      <c r="D23" s="54" t="n">
        <v>44751</v>
      </c>
      <c r="E23" s="54" t="n">
        <v>44756</v>
      </c>
      <c r="F23" s="55" t="n">
        <v>349</v>
      </c>
      <c r="G23" s="55" t="s">
        <v>58</v>
      </c>
      <c r="H23" s="56"/>
      <c r="I23" s="55"/>
      <c r="J23" s="55"/>
      <c r="K23" s="56" t="n">
        <v>2014</v>
      </c>
    </row>
    <row r="24" customFormat="false" ht="12" hidden="false" customHeight="true" outlineLevel="0" collapsed="false">
      <c r="A24" s="54" t="s">
        <v>903</v>
      </c>
      <c r="B24" s="54" t="s">
        <v>857</v>
      </c>
      <c r="C24" s="54" t="s">
        <v>189</v>
      </c>
      <c r="D24" s="54" t="n">
        <v>44756</v>
      </c>
      <c r="E24" s="54" t="n">
        <v>44763</v>
      </c>
      <c r="F24" s="55" t="n">
        <v>576</v>
      </c>
      <c r="G24" s="55" t="s">
        <v>24</v>
      </c>
      <c r="H24" s="56" t="n">
        <v>8</v>
      </c>
      <c r="I24" s="55"/>
      <c r="J24" s="55"/>
      <c r="K24" s="56" t="n">
        <v>2007</v>
      </c>
    </row>
    <row r="25" customFormat="false" ht="12" hidden="false" customHeight="true" outlineLevel="0" collapsed="false">
      <c r="A25" s="54" t="s">
        <v>904</v>
      </c>
      <c r="B25" s="54" t="s">
        <v>905</v>
      </c>
      <c r="C25" s="54" t="s">
        <v>189</v>
      </c>
      <c r="D25" s="54" t="n">
        <v>44763</v>
      </c>
      <c r="E25" s="54" t="n">
        <v>44771</v>
      </c>
      <c r="F25" s="55" t="n">
        <v>624</v>
      </c>
      <c r="G25" s="55" t="s">
        <v>10</v>
      </c>
      <c r="H25" s="56" t="n">
        <v>8</v>
      </c>
      <c r="I25" s="55"/>
      <c r="J25" s="55"/>
      <c r="K25" s="56" t="n">
        <v>2011</v>
      </c>
    </row>
    <row r="26" customFormat="false" ht="12" hidden="false" customHeight="true" outlineLevel="0" collapsed="false">
      <c r="A26" s="54" t="s">
        <v>906</v>
      </c>
      <c r="B26" s="54" t="s">
        <v>907</v>
      </c>
      <c r="C26" s="54" t="s">
        <v>189</v>
      </c>
      <c r="D26" s="54" t="n">
        <v>44771</v>
      </c>
      <c r="E26" s="54" t="n">
        <v>44773</v>
      </c>
      <c r="F26" s="55" t="n">
        <v>438</v>
      </c>
      <c r="G26" s="55" t="s">
        <v>10</v>
      </c>
      <c r="H26" s="56" t="n">
        <v>8</v>
      </c>
      <c r="I26" s="55"/>
      <c r="J26" s="55"/>
      <c r="K26" s="56" t="n">
        <v>2021</v>
      </c>
    </row>
    <row r="27" customFormat="false" ht="12" hidden="false" customHeight="true" outlineLevel="0" collapsed="false">
      <c r="A27" s="54" t="s">
        <v>908</v>
      </c>
      <c r="B27" s="54" t="s">
        <v>670</v>
      </c>
      <c r="C27" s="54" t="s">
        <v>189</v>
      </c>
      <c r="D27" s="54" t="n">
        <v>44773</v>
      </c>
      <c r="E27" s="54" t="n">
        <v>44776</v>
      </c>
      <c r="F27" s="55" t="n">
        <v>288</v>
      </c>
      <c r="G27" s="55" t="s">
        <v>10</v>
      </c>
      <c r="H27" s="56" t="n">
        <v>7</v>
      </c>
      <c r="I27" s="55"/>
      <c r="J27" s="55"/>
      <c r="K27" s="56" t="n">
        <v>1983</v>
      </c>
    </row>
    <row r="28" customFormat="false" ht="12" hidden="false" customHeight="true" outlineLevel="0" collapsed="false">
      <c r="A28" s="54" t="s">
        <v>909</v>
      </c>
      <c r="B28" s="54" t="s">
        <v>261</v>
      </c>
      <c r="C28" s="54" t="s">
        <v>189</v>
      </c>
      <c r="D28" s="54" t="n">
        <v>44776</v>
      </c>
      <c r="E28" s="54" t="n">
        <v>44782</v>
      </c>
      <c r="F28" s="55" t="n">
        <v>272</v>
      </c>
      <c r="G28" s="55" t="s">
        <v>58</v>
      </c>
      <c r="H28" s="56" t="n">
        <v>7</v>
      </c>
      <c r="I28" s="55"/>
      <c r="J28" s="55"/>
      <c r="K28" s="56" t="n">
        <v>1970</v>
      </c>
    </row>
    <row r="29" customFormat="false" ht="12" hidden="false" customHeight="true" outlineLevel="0" collapsed="false">
      <c r="A29" s="54" t="s">
        <v>910</v>
      </c>
      <c r="B29" s="54" t="s">
        <v>261</v>
      </c>
      <c r="C29" s="54" t="s">
        <v>189</v>
      </c>
      <c r="D29" s="54" t="n">
        <v>44782</v>
      </c>
      <c r="E29" s="54" t="n">
        <v>44785</v>
      </c>
      <c r="F29" s="55" t="n">
        <v>360</v>
      </c>
      <c r="G29" s="55" t="s">
        <v>58</v>
      </c>
      <c r="H29" s="56" t="n">
        <v>7</v>
      </c>
      <c r="I29" s="55"/>
      <c r="J29" s="55"/>
      <c r="K29" s="56" t="n">
        <v>1969</v>
      </c>
    </row>
    <row r="30" customFormat="false" ht="12" hidden="false" customHeight="true" outlineLevel="0" collapsed="false">
      <c r="A30" s="54" t="s">
        <v>911</v>
      </c>
      <c r="B30" s="54" t="s">
        <v>261</v>
      </c>
      <c r="C30" s="54" t="s">
        <v>189</v>
      </c>
      <c r="D30" s="54" t="n">
        <v>44785</v>
      </c>
      <c r="E30" s="54" t="n">
        <v>44789</v>
      </c>
      <c r="F30" s="55" t="n">
        <v>400</v>
      </c>
      <c r="G30" s="55" t="s">
        <v>58</v>
      </c>
      <c r="H30" s="56" t="n">
        <v>6.5</v>
      </c>
      <c r="I30" s="55"/>
      <c r="J30" s="55"/>
      <c r="K30" s="56" t="n">
        <v>1971</v>
      </c>
    </row>
    <row r="31" customFormat="false" ht="12" hidden="false" customHeight="true" outlineLevel="0" collapsed="false">
      <c r="A31" s="54" t="s">
        <v>912</v>
      </c>
      <c r="B31" s="54" t="s">
        <v>577</v>
      </c>
      <c r="C31" s="54" t="s">
        <v>189</v>
      </c>
      <c r="D31" s="54" t="n">
        <v>44789</v>
      </c>
      <c r="E31" s="54" t="n">
        <v>44800</v>
      </c>
      <c r="F31" s="55" t="n">
        <v>392</v>
      </c>
      <c r="G31" s="55" t="s">
        <v>10</v>
      </c>
      <c r="H31" s="56" t="n">
        <v>8</v>
      </c>
      <c r="I31" s="55"/>
      <c r="J31" s="55"/>
      <c r="K31" s="56" t="n">
        <v>1996</v>
      </c>
    </row>
    <row r="32" customFormat="false" ht="12" hidden="false" customHeight="true" outlineLevel="0" collapsed="false">
      <c r="A32" s="54" t="s">
        <v>913</v>
      </c>
      <c r="B32" s="54" t="s">
        <v>914</v>
      </c>
      <c r="C32" s="54" t="s">
        <v>684</v>
      </c>
      <c r="D32" s="54" t="n">
        <v>44791</v>
      </c>
      <c r="E32" s="54" t="n">
        <v>44794</v>
      </c>
      <c r="F32" s="55" t="n">
        <v>432</v>
      </c>
      <c r="G32" s="55" t="s">
        <v>10</v>
      </c>
      <c r="H32" s="56" t="n">
        <v>7</v>
      </c>
      <c r="I32" s="55"/>
      <c r="J32" s="55"/>
      <c r="K32" s="56" t="n">
        <v>2020</v>
      </c>
    </row>
    <row r="33" customFormat="false" ht="12" hidden="false" customHeight="true" outlineLevel="0" collapsed="false">
      <c r="A33" s="54" t="s">
        <v>915</v>
      </c>
      <c r="B33" s="54" t="s">
        <v>916</v>
      </c>
      <c r="C33" s="54" t="s">
        <v>684</v>
      </c>
      <c r="D33" s="54" t="n">
        <v>44794</v>
      </c>
      <c r="E33" s="54" t="n">
        <v>44797</v>
      </c>
      <c r="F33" s="55" t="n">
        <v>448</v>
      </c>
      <c r="G33" s="55" t="s">
        <v>10</v>
      </c>
      <c r="H33" s="56" t="n">
        <v>9</v>
      </c>
      <c r="I33" s="55"/>
      <c r="J33" s="55"/>
      <c r="K33" s="56" t="n">
        <v>2020</v>
      </c>
    </row>
    <row r="34" customFormat="false" ht="12" hidden="false" customHeight="true" outlineLevel="0" collapsed="false">
      <c r="A34" s="54" t="s">
        <v>917</v>
      </c>
      <c r="B34" s="54" t="s">
        <v>918</v>
      </c>
      <c r="C34" s="54" t="s">
        <v>189</v>
      </c>
      <c r="D34" s="54" t="n">
        <v>44800</v>
      </c>
      <c r="E34" s="54" t="n">
        <v>44807</v>
      </c>
      <c r="F34" s="55" t="n">
        <v>576</v>
      </c>
      <c r="G34" s="55" t="s">
        <v>10</v>
      </c>
      <c r="H34" s="56" t="n">
        <v>8</v>
      </c>
      <c r="I34" s="55"/>
      <c r="J34" s="55"/>
      <c r="K34" s="56" t="n">
        <v>1991</v>
      </c>
    </row>
    <row r="35" customFormat="false" ht="12" hidden="false" customHeight="true" outlineLevel="0" collapsed="false">
      <c r="A35" s="54" t="s">
        <v>919</v>
      </c>
      <c r="B35" s="54" t="s">
        <v>670</v>
      </c>
      <c r="C35" s="54" t="s">
        <v>189</v>
      </c>
      <c r="D35" s="54" t="n">
        <v>44807</v>
      </c>
      <c r="E35" s="54" t="n">
        <v>44818</v>
      </c>
      <c r="F35" s="55" t="n">
        <v>320</v>
      </c>
      <c r="G35" s="55" t="s">
        <v>10</v>
      </c>
      <c r="H35" s="56" t="n">
        <v>8</v>
      </c>
      <c r="I35" s="55"/>
      <c r="J35" s="55"/>
      <c r="K35" s="56" t="n">
        <v>1988</v>
      </c>
    </row>
    <row r="36" customFormat="false" ht="12" hidden="false" customHeight="true" outlineLevel="0" collapsed="false">
      <c r="A36" s="54" t="s">
        <v>920</v>
      </c>
      <c r="B36" s="54" t="s">
        <v>921</v>
      </c>
      <c r="C36" s="54" t="s">
        <v>684</v>
      </c>
      <c r="D36" s="54" t="n">
        <v>44813</v>
      </c>
      <c r="E36" s="54" t="n">
        <v>44831</v>
      </c>
      <c r="F36" s="55" t="n">
        <v>352</v>
      </c>
      <c r="G36" s="55" t="s">
        <v>24</v>
      </c>
      <c r="H36" s="56" t="n">
        <v>7</v>
      </c>
      <c r="I36" s="55"/>
      <c r="J36" s="55"/>
      <c r="K36" s="56" t="n">
        <v>2017</v>
      </c>
    </row>
    <row r="37" customFormat="false" ht="12" hidden="false" customHeight="true" outlineLevel="0" collapsed="false">
      <c r="A37" s="54" t="s">
        <v>922</v>
      </c>
      <c r="B37" s="54" t="s">
        <v>923</v>
      </c>
      <c r="C37" s="54" t="s">
        <v>684</v>
      </c>
      <c r="D37" s="54" t="n">
        <v>44818</v>
      </c>
      <c r="E37" s="54" t="n">
        <v>44851</v>
      </c>
      <c r="F37" s="55" t="n">
        <v>336</v>
      </c>
      <c r="G37" s="55" t="s">
        <v>10</v>
      </c>
      <c r="H37" s="56" t="n">
        <v>8</v>
      </c>
      <c r="I37" s="55"/>
      <c r="J37" s="55"/>
      <c r="K37" s="56" t="n">
        <v>2021</v>
      </c>
    </row>
    <row r="38" customFormat="false" ht="12" hidden="false" customHeight="true" outlineLevel="0" collapsed="false">
      <c r="A38" s="54" t="s">
        <v>924</v>
      </c>
      <c r="B38" s="54" t="s">
        <v>925</v>
      </c>
      <c r="C38" s="54" t="s">
        <v>189</v>
      </c>
      <c r="D38" s="54" t="n">
        <v>44829</v>
      </c>
      <c r="E38" s="54" t="n">
        <v>44836</v>
      </c>
      <c r="F38" s="55" t="n">
        <v>304</v>
      </c>
      <c r="G38" s="55" t="s">
        <v>10</v>
      </c>
      <c r="H38" s="56" t="n">
        <v>9</v>
      </c>
      <c r="I38" s="55"/>
      <c r="J38" s="55"/>
      <c r="K38" s="56" t="n">
        <v>2005</v>
      </c>
    </row>
    <row r="39" customFormat="false" ht="12" hidden="false" customHeight="true" outlineLevel="0" collapsed="false">
      <c r="A39" s="54" t="s">
        <v>926</v>
      </c>
      <c r="B39" s="54" t="s">
        <v>537</v>
      </c>
      <c r="C39" s="54" t="s">
        <v>189</v>
      </c>
      <c r="D39" s="54" t="n">
        <v>44836</v>
      </c>
      <c r="E39" s="54" t="n">
        <v>44874</v>
      </c>
      <c r="F39" s="55" t="n">
        <v>528</v>
      </c>
      <c r="G39" s="55" t="s">
        <v>10</v>
      </c>
      <c r="H39" s="56" t="n">
        <v>8</v>
      </c>
      <c r="I39" s="55"/>
      <c r="J39" s="55"/>
      <c r="K39" s="56" t="n">
        <v>2014</v>
      </c>
    </row>
    <row r="40" customFormat="false" ht="12" hidden="false" customHeight="true" outlineLevel="0" collapsed="false">
      <c r="A40" s="49" t="s">
        <v>927</v>
      </c>
      <c r="B40" s="49" t="s">
        <v>928</v>
      </c>
      <c r="C40" s="49" t="s">
        <v>684</v>
      </c>
      <c r="D40" s="49" t="n">
        <v>44860</v>
      </c>
      <c r="E40" s="49"/>
      <c r="F40" s="52" t="n">
        <v>416</v>
      </c>
      <c r="G40" s="52" t="s">
        <v>24</v>
      </c>
      <c r="H40" s="51"/>
      <c r="I40" s="37"/>
      <c r="J40" s="37"/>
      <c r="K40" s="51" t="n">
        <v>2022</v>
      </c>
    </row>
    <row r="41" customFormat="false" ht="12" hidden="false" customHeight="true" outlineLevel="0" collapsed="false">
      <c r="A41" s="54" t="s">
        <v>929</v>
      </c>
      <c r="B41" s="54" t="s">
        <v>930</v>
      </c>
      <c r="C41" s="54" t="s">
        <v>189</v>
      </c>
      <c r="D41" s="54" t="n">
        <v>44874</v>
      </c>
      <c r="E41" s="54" t="n">
        <v>44893</v>
      </c>
      <c r="F41" s="55" t="n">
        <v>320</v>
      </c>
      <c r="G41" s="55" t="s">
        <v>10</v>
      </c>
      <c r="H41" s="56" t="n">
        <v>8</v>
      </c>
      <c r="I41" s="55"/>
      <c r="J41" s="55"/>
      <c r="K41" s="56" t="n">
        <v>1970</v>
      </c>
    </row>
    <row r="42" customFormat="false" ht="12" hidden="false" customHeight="true" outlineLevel="0" collapsed="false">
      <c r="A42" s="54" t="s">
        <v>931</v>
      </c>
      <c r="B42" s="54" t="s">
        <v>932</v>
      </c>
      <c r="C42" s="54" t="s">
        <v>189</v>
      </c>
      <c r="D42" s="54" t="n">
        <v>44893</v>
      </c>
      <c r="E42" s="54" t="n">
        <v>44906</v>
      </c>
      <c r="F42" s="55" t="n">
        <v>352</v>
      </c>
      <c r="G42" s="55" t="s">
        <v>10</v>
      </c>
      <c r="H42" s="56" t="n">
        <v>8.5</v>
      </c>
      <c r="I42" s="55"/>
      <c r="J42" s="55"/>
      <c r="K42" s="56" t="n">
        <v>2016</v>
      </c>
    </row>
    <row r="43" customFormat="false" ht="12" hidden="false" customHeight="true" outlineLevel="0" collapsed="false">
      <c r="A43" s="54" t="s">
        <v>933</v>
      </c>
      <c r="B43" s="54" t="s">
        <v>934</v>
      </c>
      <c r="C43" s="54" t="s">
        <v>189</v>
      </c>
      <c r="D43" s="54" t="n">
        <v>44907</v>
      </c>
      <c r="E43" s="54" t="n">
        <v>44925</v>
      </c>
      <c r="F43" s="55" t="n">
        <v>352</v>
      </c>
      <c r="G43" s="55" t="s">
        <v>10</v>
      </c>
      <c r="H43" s="56" t="n">
        <v>8.7</v>
      </c>
      <c r="I43" s="55"/>
      <c r="J43" s="55"/>
      <c r="K43" s="56" t="n">
        <v>1980</v>
      </c>
    </row>
    <row r="44" customFormat="false" ht="12" hidden="false" customHeight="true" outlineLevel="0" collapsed="false">
      <c r="F44" s="32" t="n">
        <f aca="false">SUMIFS(F2:F43,E2:E43,"&gt;0")</f>
        <v>13862</v>
      </c>
      <c r="G44" s="33"/>
      <c r="H44" s="34" t="n">
        <f aca="false">GEOMEAN(H2:H43)</f>
        <v>7.74510064221882</v>
      </c>
      <c r="I44" s="37" t="e">
        <f aca="false">NA()</f>
        <v>#N/A</v>
      </c>
      <c r="J44" s="37" t="e">
        <f aca="false">NA()</f>
        <v>#N/A</v>
      </c>
      <c r="K44" s="34"/>
    </row>
    <row r="45" customFormat="false" ht="12" hidden="false" customHeight="true" outlineLevel="0" collapsed="false">
      <c r="A45" s="24" t="s">
        <v>275</v>
      </c>
      <c r="I45" s="37" t="e">
        <f aca="false">NA()</f>
        <v>#N/A</v>
      </c>
      <c r="J45" s="37" t="e">
        <f aca="false">NA()</f>
        <v>#N/A</v>
      </c>
    </row>
    <row r="46" customFormat="false" ht="36" hidden="false" customHeight="true" outlineLevel="0" collapsed="false">
      <c r="A46" s="6" t="s">
        <v>277</v>
      </c>
      <c r="B46" s="6" t="s">
        <v>278</v>
      </c>
      <c r="C46" s="6" t="s">
        <v>279</v>
      </c>
      <c r="D46" s="6" t="s">
        <v>280</v>
      </c>
      <c r="I46" s="37" t="e">
        <f aca="false">NA()</f>
        <v>#N/A</v>
      </c>
      <c r="J46" s="37" t="e">
        <f aca="false">NA()</f>
        <v>#N/A</v>
      </c>
    </row>
    <row r="47" customFormat="false" ht="12" hidden="false" customHeight="true" outlineLevel="0" collapsed="false">
      <c r="A47" s="6" t="n">
        <f aca="false">COUNTIF(E2:E43,"&gt;0")</f>
        <v>35</v>
      </c>
      <c r="B47" s="6" t="n">
        <f aca="false">ROUND(F44/A47,0)</f>
        <v>396</v>
      </c>
      <c r="C47" s="6" t="e">
        <f aca="false">INDEX(J3:J68,MATCH(MAX(I3:I68),I3:I68,0),1)</f>
        <v>#N/A</v>
      </c>
      <c r="D47" s="6"/>
      <c r="I47" s="37" t="e">
        <f aca="false">NA()</f>
        <v>#N/A</v>
      </c>
      <c r="J47" s="37" t="e">
        <f aca="false">NA()</f>
        <v>#N/A</v>
      </c>
    </row>
    <row r="48" customFormat="false" ht="12" hidden="false" customHeight="true" outlineLevel="0" collapsed="false">
      <c r="I48" s="37" t="e">
        <f aca="false">NA()</f>
        <v>#N/A</v>
      </c>
      <c r="J48" s="37" t="e">
        <f aca="false">NA()</f>
        <v>#N/A</v>
      </c>
    </row>
    <row r="49" customFormat="false" ht="12" hidden="false" customHeight="true" outlineLevel="0" collapsed="false">
      <c r="I49" s="37" t="e">
        <f aca="false">NA()</f>
        <v>#N/A</v>
      </c>
      <c r="J49" s="37" t="e">
        <f aca="false">NA()</f>
        <v>#N/A</v>
      </c>
    </row>
    <row r="50" customFormat="false" ht="12" hidden="false" customHeight="true" outlineLevel="0" collapsed="false">
      <c r="I50" s="37" t="e">
        <f aca="false">NA()</f>
        <v>#N/A</v>
      </c>
      <c r="J50" s="37" t="e">
        <f aca="false">NA()</f>
        <v>#N/A</v>
      </c>
    </row>
    <row r="51" customFormat="false" ht="12" hidden="false" customHeight="true" outlineLevel="0" collapsed="false">
      <c r="I51" s="37" t="e">
        <f aca="false">NA()</f>
        <v>#N/A</v>
      </c>
      <c r="J51" s="37" t="e">
        <f aca="false">NA()</f>
        <v>#N/A</v>
      </c>
    </row>
    <row r="52" customFormat="false" ht="12" hidden="false" customHeight="true" outlineLevel="0" collapsed="false">
      <c r="I52" s="37" t="e">
        <f aca="false">NA()</f>
        <v>#N/A</v>
      </c>
      <c r="J52" s="37" t="e">
        <f aca="false">NA()</f>
        <v>#N/A</v>
      </c>
    </row>
    <row r="53" customFormat="false" ht="12" hidden="false" customHeight="true" outlineLevel="0" collapsed="false">
      <c r="I53" s="37" t="e">
        <f aca="false">NA()</f>
        <v>#N/A</v>
      </c>
      <c r="J53" s="37" t="e">
        <f aca="false">NA()</f>
        <v>#N/A</v>
      </c>
    </row>
    <row r="54" customFormat="false" ht="12" hidden="false" customHeight="true" outlineLevel="0" collapsed="false">
      <c r="I54" s="37" t="e">
        <f aca="false">NA()</f>
        <v>#N/A</v>
      </c>
      <c r="J54" s="37" t="e">
        <f aca="false">NA()</f>
        <v>#N/A</v>
      </c>
    </row>
    <row r="55" customFormat="false" ht="12" hidden="false" customHeight="true" outlineLevel="0" collapsed="false">
      <c r="I55" s="37" t="e">
        <f aca="false">NA()</f>
        <v>#N/A</v>
      </c>
      <c r="J55" s="37" t="e">
        <f aca="false">NA()</f>
        <v>#N/A</v>
      </c>
    </row>
    <row r="56" customFormat="false" ht="12" hidden="false" customHeight="true" outlineLevel="0" collapsed="false">
      <c r="I56" s="37" t="e">
        <f aca="false">NA()</f>
        <v>#N/A</v>
      </c>
      <c r="J56" s="37" t="e">
        <f aca="false">NA()</f>
        <v>#N/A</v>
      </c>
    </row>
    <row r="57" customFormat="false" ht="12" hidden="false" customHeight="true" outlineLevel="0" collapsed="false">
      <c r="I57" s="37" t="e">
        <f aca="false">NA()</f>
        <v>#N/A</v>
      </c>
      <c r="J57" s="37" t="e">
        <f aca="false">NA()</f>
        <v>#N/A</v>
      </c>
    </row>
    <row r="58" customFormat="false" ht="12" hidden="false" customHeight="true" outlineLevel="0" collapsed="false">
      <c r="I58" s="37" t="e">
        <f aca="false">NA()</f>
        <v>#N/A</v>
      </c>
      <c r="J58" s="37" t="e">
        <f aca="false">NA()</f>
        <v>#N/A</v>
      </c>
    </row>
    <row r="59" customFormat="false" ht="12" hidden="false" customHeight="true" outlineLevel="0" collapsed="false">
      <c r="I59" s="37" t="e">
        <f aca="false">NA()</f>
        <v>#N/A</v>
      </c>
      <c r="J59" s="37" t="e">
        <f aca="false">NA()</f>
        <v>#N/A</v>
      </c>
    </row>
    <row r="60" customFormat="false" ht="12" hidden="false" customHeight="true" outlineLevel="0" collapsed="false">
      <c r="I60" s="37" t="e">
        <f aca="false">NA()</f>
        <v>#N/A</v>
      </c>
      <c r="J60" s="37" t="e">
        <f aca="false">NA()</f>
        <v>#N/A</v>
      </c>
    </row>
    <row r="61" customFormat="false" ht="12" hidden="false" customHeight="true" outlineLevel="0" collapsed="false">
      <c r="I61" s="37" t="e">
        <f aca="false">NA()</f>
        <v>#N/A</v>
      </c>
      <c r="J61" s="37" t="e">
        <f aca="false">NA()</f>
        <v>#N/A</v>
      </c>
    </row>
    <row r="62" customFormat="false" ht="12" hidden="false" customHeight="true" outlineLevel="0" collapsed="false">
      <c r="I62" s="37" t="e">
        <f aca="false">NA()</f>
        <v>#N/A</v>
      </c>
      <c r="J62" s="37" t="e">
        <f aca="false">NA()</f>
        <v>#N/A</v>
      </c>
    </row>
    <row r="63" customFormat="false" ht="12" hidden="false" customHeight="true" outlineLevel="0" collapsed="false">
      <c r="I63" s="37" t="e">
        <f aca="false">NA()</f>
        <v>#N/A</v>
      </c>
      <c r="J63" s="37" t="e">
        <f aca="false">NA()</f>
        <v>#N/A</v>
      </c>
    </row>
    <row r="64" customFormat="false" ht="12" hidden="false" customHeight="true" outlineLevel="0" collapsed="false">
      <c r="I64" s="37" t="e">
        <f aca="false">NA()</f>
        <v>#N/A</v>
      </c>
      <c r="J64" s="37" t="e">
        <f aca="false">NA()</f>
        <v>#N/A</v>
      </c>
    </row>
    <row r="65" customFormat="false" ht="12" hidden="false" customHeight="true" outlineLevel="0" collapsed="false">
      <c r="I65" s="37" t="e">
        <f aca="false">NA()</f>
        <v>#N/A</v>
      </c>
      <c r="J65" s="37" t="e">
        <f aca="false">NA()</f>
        <v>#N/A</v>
      </c>
    </row>
    <row r="66" customFormat="false" ht="12" hidden="false" customHeight="true" outlineLevel="0" collapsed="false">
      <c r="I66" s="37" t="e">
        <f aca="false">NA()</f>
        <v>#N/A</v>
      </c>
      <c r="J66" s="37" t="e">
        <f aca="false">NA()</f>
        <v>#N/A</v>
      </c>
    </row>
    <row r="67" customFormat="false" ht="12" hidden="false" customHeight="true" outlineLevel="0" collapsed="false">
      <c r="I67" s="37" t="e">
        <f aca="false">NA()</f>
        <v>#N/A</v>
      </c>
      <c r="J67" s="37" t="e">
        <f aca="false">NA()</f>
        <v>#N/A</v>
      </c>
    </row>
    <row r="68" customFormat="false" ht="12" hidden="false" customHeight="true" outlineLevel="0" collapsed="false">
      <c r="I68" s="37" t="e">
        <f aca="false">NA()</f>
        <v>#N/A</v>
      </c>
      <c r="J68" s="37" t="e">
        <f aca="false">NA()</f>
        <v>#N/A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6" activeCellId="0" sqref="B6"/>
    </sheetView>
  </sheetViews>
  <sheetFormatPr defaultColWidth="10.5" defaultRowHeight="12" zeroHeight="false" outlineLevelRow="0" outlineLevelCol="0"/>
  <cols>
    <col collapsed="false" customWidth="true" hidden="false" outlineLevel="0" max="1" min="1" style="0" width="47.49"/>
    <col collapsed="false" customWidth="true" hidden="false" outlineLevel="0" max="2" min="2" style="0" width="27.49"/>
    <col collapsed="false" customWidth="true" hidden="false" outlineLevel="0" max="3" min="3" style="0" width="6.5"/>
    <col collapsed="false" customWidth="true" hidden="false" outlineLevel="0" max="4" min="4" style="0" width="11.5"/>
    <col collapsed="false" customWidth="true" hidden="false" outlineLevel="0" max="6" min="6" style="0" width="11.5"/>
    <col collapsed="false" customWidth="true" hidden="false" outlineLevel="0" max="8" min="8" style="0" width="14.49"/>
    <col collapsed="false" customWidth="false" hidden="true" outlineLevel="0" max="10" min="9" style="0" width="10.5"/>
    <col collapsed="false" customWidth="true" hidden="false" outlineLevel="0" max="11" min="11" style="0" width="22.49"/>
  </cols>
  <sheetData>
    <row r="1" s="6" customFormat="true" ht="12.75" hidden="false" customHeight="true" outlineLevel="0" collapsed="false">
      <c r="A1" s="24" t="s">
        <v>0</v>
      </c>
      <c r="B1" s="25" t="s">
        <v>1</v>
      </c>
      <c r="C1" s="25" t="s">
        <v>2</v>
      </c>
      <c r="D1" s="26" t="s">
        <v>3</v>
      </c>
      <c r="E1" s="27" t="s">
        <v>4</v>
      </c>
      <c r="F1" s="26" t="s">
        <v>5</v>
      </c>
      <c r="G1" s="27" t="s">
        <v>6</v>
      </c>
      <c r="H1" s="28" t="s">
        <v>7</v>
      </c>
      <c r="I1" s="35" t="s">
        <v>281</v>
      </c>
      <c r="J1" s="36" t="s">
        <v>1</v>
      </c>
      <c r="K1" s="28" t="s">
        <v>513</v>
      </c>
    </row>
    <row r="2" customFormat="false" ht="12" hidden="false" customHeight="true" outlineLevel="0" collapsed="false">
      <c r="A2" s="54" t="s">
        <v>935</v>
      </c>
      <c r="B2" s="54" t="s">
        <v>934</v>
      </c>
      <c r="C2" s="54" t="s">
        <v>189</v>
      </c>
      <c r="D2" s="54" t="n">
        <v>44925</v>
      </c>
      <c r="E2" s="54" t="n">
        <v>44934</v>
      </c>
      <c r="F2" s="55" t="n">
        <v>400</v>
      </c>
      <c r="G2" s="55" t="s">
        <v>10</v>
      </c>
      <c r="H2" s="56" t="n">
        <v>7</v>
      </c>
      <c r="I2" s="55"/>
      <c r="J2" s="55"/>
      <c r="K2" s="56" t="n">
        <v>1980</v>
      </c>
    </row>
    <row r="3" customFormat="false" ht="12" hidden="false" customHeight="true" outlineLevel="0" collapsed="false">
      <c r="A3" s="54" t="s">
        <v>936</v>
      </c>
      <c r="B3" s="54" t="s">
        <v>937</v>
      </c>
      <c r="C3" s="54" t="s">
        <v>189</v>
      </c>
      <c r="D3" s="54" t="n">
        <v>44934</v>
      </c>
      <c r="E3" s="54" t="n">
        <v>44952</v>
      </c>
      <c r="F3" s="55" t="n">
        <v>232</v>
      </c>
      <c r="G3" s="55" t="s">
        <v>10</v>
      </c>
      <c r="H3" s="56" t="n">
        <v>7</v>
      </c>
      <c r="I3" s="55"/>
      <c r="J3" s="55"/>
      <c r="K3" s="56" t="n">
        <v>1953</v>
      </c>
    </row>
    <row r="4" customFormat="false" ht="12" hidden="false" customHeight="true" outlineLevel="0" collapsed="false">
      <c r="A4" s="54" t="s">
        <v>938</v>
      </c>
      <c r="B4" s="54" t="s">
        <v>939</v>
      </c>
      <c r="C4" s="54" t="s">
        <v>684</v>
      </c>
      <c r="D4" s="54" t="n">
        <v>44938</v>
      </c>
      <c r="E4" s="54" t="n">
        <v>44983</v>
      </c>
      <c r="F4" s="55" t="n">
        <v>757</v>
      </c>
      <c r="G4" s="55" t="s">
        <v>58</v>
      </c>
      <c r="H4" s="56" t="n">
        <v>7</v>
      </c>
      <c r="I4" s="55"/>
      <c r="J4" s="55"/>
      <c r="K4" s="56" t="n">
        <v>2003</v>
      </c>
    </row>
    <row r="5" customFormat="false" ht="12" hidden="false" customHeight="true" outlineLevel="0" collapsed="false">
      <c r="A5" s="54" t="s">
        <v>940</v>
      </c>
      <c r="B5" s="54" t="s">
        <v>941</v>
      </c>
      <c r="C5" s="54" t="s">
        <v>189</v>
      </c>
      <c r="D5" s="54" t="n">
        <v>44952</v>
      </c>
      <c r="E5" s="54" t="n">
        <v>44967</v>
      </c>
      <c r="F5" s="55" t="n">
        <v>192</v>
      </c>
      <c r="G5" s="55" t="s">
        <v>10</v>
      </c>
      <c r="H5" s="56" t="n">
        <v>8</v>
      </c>
      <c r="I5" s="55"/>
      <c r="J5" s="55"/>
      <c r="K5" s="56" t="n">
        <v>1972</v>
      </c>
    </row>
    <row r="6" customFormat="false" ht="12" hidden="false" customHeight="true" outlineLevel="0" collapsed="false">
      <c r="A6" s="54" t="s">
        <v>942</v>
      </c>
      <c r="B6" s="54" t="s">
        <v>943</v>
      </c>
      <c r="C6" s="54" t="s">
        <v>189</v>
      </c>
      <c r="D6" s="54" t="n">
        <v>44967</v>
      </c>
      <c r="E6" s="54" t="n">
        <v>45004</v>
      </c>
      <c r="F6" s="55" t="n">
        <v>512</v>
      </c>
      <c r="G6" s="55" t="s">
        <v>10</v>
      </c>
      <c r="H6" s="56" t="n">
        <v>8</v>
      </c>
      <c r="I6" s="55"/>
      <c r="J6" s="55"/>
      <c r="K6" s="56" t="n">
        <v>1974</v>
      </c>
    </row>
    <row r="7" customFormat="false" ht="12" hidden="false" customHeight="true" outlineLevel="0" collapsed="false">
      <c r="A7" s="54" t="s">
        <v>944</v>
      </c>
      <c r="B7" s="54" t="s">
        <v>635</v>
      </c>
      <c r="C7" s="54" t="s">
        <v>684</v>
      </c>
      <c r="D7" s="54" t="n">
        <v>44984</v>
      </c>
      <c r="E7" s="54" t="n">
        <v>45060</v>
      </c>
      <c r="F7" s="55" t="n">
        <v>380</v>
      </c>
      <c r="G7" s="55" t="s">
        <v>58</v>
      </c>
      <c r="H7" s="56" t="n">
        <v>6</v>
      </c>
      <c r="I7" s="55"/>
      <c r="J7" s="55"/>
      <c r="K7" s="56" t="n">
        <v>2022</v>
      </c>
    </row>
    <row r="8" customFormat="false" ht="12" hidden="false" customHeight="true" outlineLevel="0" collapsed="false">
      <c r="A8" s="54" t="s">
        <v>945</v>
      </c>
      <c r="B8" s="54" t="s">
        <v>946</v>
      </c>
      <c r="C8" s="54" t="s">
        <v>189</v>
      </c>
      <c r="D8" s="54" t="n">
        <v>45004</v>
      </c>
      <c r="E8" s="54" t="n">
        <v>45023</v>
      </c>
      <c r="F8" s="55" t="n">
        <v>310</v>
      </c>
      <c r="G8" s="55" t="s">
        <v>10</v>
      </c>
      <c r="H8" s="56" t="n">
        <v>7</v>
      </c>
      <c r="I8" s="55"/>
      <c r="J8" s="55"/>
      <c r="K8" s="56" t="n">
        <v>1993</v>
      </c>
    </row>
    <row r="9" customFormat="false" ht="12" hidden="false" customHeight="true" outlineLevel="0" collapsed="false">
      <c r="A9" s="54" t="s">
        <v>947</v>
      </c>
      <c r="B9" s="54" t="s">
        <v>948</v>
      </c>
      <c r="C9" s="54" t="s">
        <v>189</v>
      </c>
      <c r="D9" s="54" t="n">
        <v>45024</v>
      </c>
      <c r="E9" s="54" t="n">
        <v>45043</v>
      </c>
      <c r="F9" s="55" t="n">
        <v>416</v>
      </c>
      <c r="G9" s="55" t="s">
        <v>10</v>
      </c>
      <c r="H9" s="56" t="n">
        <v>5</v>
      </c>
      <c r="I9" s="55"/>
      <c r="J9" s="55"/>
      <c r="K9" s="56" t="n">
        <v>2013</v>
      </c>
    </row>
    <row r="10" customFormat="false" ht="12" hidden="false" customHeight="true" outlineLevel="0" collapsed="false">
      <c r="A10" s="54" t="s">
        <v>949</v>
      </c>
      <c r="B10" s="54" t="s">
        <v>950</v>
      </c>
      <c r="C10" s="54" t="s">
        <v>189</v>
      </c>
      <c r="D10" s="54" t="n">
        <v>45043</v>
      </c>
      <c r="E10" s="54" t="n">
        <v>45049</v>
      </c>
      <c r="F10" s="55" t="n">
        <v>400</v>
      </c>
      <c r="G10" s="55" t="s">
        <v>10</v>
      </c>
      <c r="H10" s="56" t="n">
        <v>6.8</v>
      </c>
      <c r="I10" s="55"/>
      <c r="J10" s="55"/>
      <c r="K10" s="56" t="n">
        <v>2010</v>
      </c>
    </row>
    <row r="11" customFormat="false" ht="12" hidden="false" customHeight="true" outlineLevel="0" collapsed="false">
      <c r="A11" s="54" t="s">
        <v>951</v>
      </c>
      <c r="B11" s="54" t="s">
        <v>261</v>
      </c>
      <c r="C11" s="54" t="s">
        <v>189</v>
      </c>
      <c r="D11" s="54" t="n">
        <v>45049</v>
      </c>
      <c r="E11" s="54" t="n">
        <v>45050</v>
      </c>
      <c r="F11" s="55" t="n">
        <v>20</v>
      </c>
      <c r="G11" s="55" t="s">
        <v>58</v>
      </c>
      <c r="H11" s="56" t="n">
        <v>7</v>
      </c>
      <c r="I11" s="55"/>
      <c r="J11" s="55"/>
      <c r="K11" s="56" t="n">
        <v>1981</v>
      </c>
    </row>
    <row r="12" customFormat="false" ht="12" hidden="false" customHeight="true" outlineLevel="0" collapsed="false">
      <c r="A12" s="54" t="s">
        <v>952</v>
      </c>
      <c r="B12" s="54" t="s">
        <v>946</v>
      </c>
      <c r="C12" s="54" t="s">
        <v>189</v>
      </c>
      <c r="D12" s="54" t="n">
        <v>45050</v>
      </c>
      <c r="E12" s="54" t="n">
        <v>45067</v>
      </c>
      <c r="F12" s="55" t="n">
        <v>352</v>
      </c>
      <c r="G12" s="55" t="s">
        <v>10</v>
      </c>
      <c r="H12" s="56" t="n">
        <v>7</v>
      </c>
      <c r="I12" s="55"/>
      <c r="J12" s="55"/>
      <c r="K12" s="56" t="n">
        <v>1993</v>
      </c>
    </row>
    <row r="13" customFormat="false" ht="12" hidden="false" customHeight="true" outlineLevel="0" collapsed="false">
      <c r="A13" s="54" t="s">
        <v>953</v>
      </c>
      <c r="B13" s="54" t="s">
        <v>954</v>
      </c>
      <c r="C13" s="54" t="s">
        <v>684</v>
      </c>
      <c r="D13" s="54" t="n">
        <v>45060</v>
      </c>
      <c r="E13" s="54" t="n">
        <v>45172</v>
      </c>
      <c r="F13" s="55" t="n">
        <v>268</v>
      </c>
      <c r="G13" s="55" t="s">
        <v>249</v>
      </c>
      <c r="H13" s="56" t="n">
        <v>6</v>
      </c>
      <c r="I13" s="55"/>
      <c r="J13" s="55"/>
      <c r="K13" s="56" t="n">
        <v>2019</v>
      </c>
    </row>
    <row r="14" customFormat="false" ht="12" hidden="false" customHeight="true" outlineLevel="0" collapsed="false">
      <c r="A14" s="54" t="s">
        <v>955</v>
      </c>
      <c r="B14" s="54" t="s">
        <v>946</v>
      </c>
      <c r="C14" s="54" t="s">
        <v>189</v>
      </c>
      <c r="D14" s="54" t="n">
        <v>45068</v>
      </c>
      <c r="E14" s="54" t="n">
        <v>45088</v>
      </c>
      <c r="F14" s="55" t="n">
        <v>320</v>
      </c>
      <c r="G14" s="55" t="s">
        <v>10</v>
      </c>
      <c r="H14" s="56" t="n">
        <v>6</v>
      </c>
      <c r="I14" s="55"/>
      <c r="J14" s="55"/>
      <c r="K14" s="56" t="n">
        <v>1993</v>
      </c>
    </row>
    <row r="15" customFormat="false" ht="12" hidden="false" customHeight="true" outlineLevel="0" collapsed="false">
      <c r="A15" s="54" t="s">
        <v>956</v>
      </c>
      <c r="B15" s="54" t="s">
        <v>957</v>
      </c>
      <c r="C15" s="54" t="s">
        <v>189</v>
      </c>
      <c r="D15" s="54" t="n">
        <v>45073</v>
      </c>
      <c r="E15" s="54" t="n">
        <v>45078</v>
      </c>
      <c r="F15" s="55" t="n">
        <v>384</v>
      </c>
      <c r="G15" s="55" t="s">
        <v>24</v>
      </c>
      <c r="H15" s="56" t="n">
        <v>7</v>
      </c>
      <c r="I15" s="55"/>
      <c r="J15" s="55"/>
      <c r="K15" s="56" t="n">
        <v>1957</v>
      </c>
    </row>
    <row r="16" customFormat="false" ht="12" hidden="false" customHeight="true" outlineLevel="0" collapsed="false">
      <c r="A16" s="54" t="s">
        <v>958</v>
      </c>
      <c r="B16" s="54" t="s">
        <v>907</v>
      </c>
      <c r="C16" s="54" t="s">
        <v>189</v>
      </c>
      <c r="D16" s="54" t="n">
        <v>45078</v>
      </c>
      <c r="E16" s="54" t="n">
        <v>45081</v>
      </c>
      <c r="F16" s="55" t="n">
        <v>400</v>
      </c>
      <c r="G16" s="55" t="s">
        <v>10</v>
      </c>
      <c r="H16" s="56" t="n">
        <v>7</v>
      </c>
      <c r="I16" s="55"/>
      <c r="J16" s="55"/>
      <c r="K16" s="56" t="n">
        <v>2017</v>
      </c>
    </row>
    <row r="17" customFormat="false" ht="12" hidden="false" customHeight="true" outlineLevel="0" collapsed="false">
      <c r="A17" s="54" t="s">
        <v>959</v>
      </c>
      <c r="B17" s="54" t="s">
        <v>960</v>
      </c>
      <c r="C17" s="54" t="s">
        <v>189</v>
      </c>
      <c r="D17" s="54" t="n">
        <v>45088</v>
      </c>
      <c r="E17" s="54" t="n">
        <v>45090</v>
      </c>
      <c r="F17" s="55" t="n">
        <v>151</v>
      </c>
      <c r="G17" s="55" t="s">
        <v>58</v>
      </c>
      <c r="H17" s="56" t="n">
        <v>6</v>
      </c>
      <c r="I17" s="55"/>
      <c r="J17" s="55"/>
      <c r="K17" s="56" t="n">
        <v>1985</v>
      </c>
    </row>
    <row r="18" customFormat="false" ht="12" hidden="false" customHeight="true" outlineLevel="0" collapsed="false">
      <c r="A18" s="54" t="s">
        <v>961</v>
      </c>
      <c r="B18" s="54" t="s">
        <v>905</v>
      </c>
      <c r="C18" s="54" t="s">
        <v>189</v>
      </c>
      <c r="D18" s="54" t="n">
        <v>45090</v>
      </c>
      <c r="E18" s="54" t="n">
        <v>45100</v>
      </c>
      <c r="F18" s="55" t="n">
        <v>471</v>
      </c>
      <c r="G18" s="55" t="s">
        <v>10</v>
      </c>
      <c r="H18" s="56" t="n">
        <v>7</v>
      </c>
      <c r="I18" s="55"/>
      <c r="J18" s="55"/>
      <c r="K18" s="56" t="n">
        <v>1992</v>
      </c>
    </row>
    <row r="19" customFormat="false" ht="12" hidden="false" customHeight="true" outlineLevel="0" collapsed="false">
      <c r="A19" s="54" t="s">
        <v>962</v>
      </c>
      <c r="B19" s="54" t="s">
        <v>963</v>
      </c>
      <c r="C19" s="54" t="s">
        <v>189</v>
      </c>
      <c r="D19" s="54" t="n">
        <v>45100</v>
      </c>
      <c r="E19" s="54" t="n">
        <v>45108</v>
      </c>
      <c r="F19" s="55" t="n">
        <v>560</v>
      </c>
      <c r="G19" s="55" t="s">
        <v>24</v>
      </c>
      <c r="H19" s="56" t="n">
        <v>5</v>
      </c>
      <c r="I19" s="55"/>
      <c r="J19" s="55"/>
      <c r="K19" s="56" t="n">
        <v>2022</v>
      </c>
    </row>
    <row r="20" customFormat="false" ht="12" hidden="false" customHeight="true" outlineLevel="0" collapsed="false">
      <c r="A20" s="54" t="s">
        <v>964</v>
      </c>
      <c r="B20" s="54" t="s">
        <v>965</v>
      </c>
      <c r="C20" s="54" t="s">
        <v>189</v>
      </c>
      <c r="D20" s="54" t="n">
        <v>45109</v>
      </c>
      <c r="E20" s="54" t="n">
        <v>45111</v>
      </c>
      <c r="F20" s="55" t="n">
        <v>240</v>
      </c>
      <c r="G20" s="55" t="s">
        <v>10</v>
      </c>
      <c r="H20" s="56" t="n">
        <v>7</v>
      </c>
      <c r="I20" s="55"/>
      <c r="J20" s="55"/>
      <c r="K20" s="56" t="n">
        <v>1873</v>
      </c>
    </row>
    <row r="21" customFormat="false" ht="12" hidden="false" customHeight="true" outlineLevel="0" collapsed="false">
      <c r="A21" s="54" t="s">
        <v>966</v>
      </c>
      <c r="B21" s="54" t="s">
        <v>934</v>
      </c>
      <c r="C21" s="54" t="s">
        <v>189</v>
      </c>
      <c r="D21" s="54" t="n">
        <v>45109</v>
      </c>
      <c r="E21" s="54" t="n">
        <v>45116</v>
      </c>
      <c r="F21" s="55" t="n">
        <v>400</v>
      </c>
      <c r="G21" s="55" t="s">
        <v>10</v>
      </c>
      <c r="H21" s="56" t="n">
        <v>5.5</v>
      </c>
      <c r="I21" s="55"/>
      <c r="J21" s="55"/>
      <c r="K21" s="56" t="n">
        <v>1977</v>
      </c>
    </row>
    <row r="22" customFormat="false" ht="12" hidden="false" customHeight="true" outlineLevel="0" collapsed="false">
      <c r="A22" s="54" t="s">
        <v>967</v>
      </c>
      <c r="B22" s="54" t="s">
        <v>965</v>
      </c>
      <c r="C22" s="54" t="s">
        <v>189</v>
      </c>
      <c r="D22" s="54" t="n">
        <v>45111</v>
      </c>
      <c r="E22" s="54" t="n">
        <v>45126</v>
      </c>
      <c r="F22" s="55" t="n">
        <v>256</v>
      </c>
      <c r="G22" s="55" t="s">
        <v>10</v>
      </c>
      <c r="H22" s="56" t="n">
        <v>5</v>
      </c>
      <c r="I22" s="55"/>
      <c r="J22" s="55"/>
      <c r="K22" s="56" t="n">
        <v>1873</v>
      </c>
    </row>
    <row r="23" customFormat="false" ht="12" hidden="false" customHeight="true" outlineLevel="0" collapsed="false">
      <c r="A23" s="54" t="s">
        <v>968</v>
      </c>
      <c r="B23" s="54" t="s">
        <v>925</v>
      </c>
      <c r="C23" s="54" t="s">
        <v>684</v>
      </c>
      <c r="D23" s="54" t="n">
        <v>45116</v>
      </c>
      <c r="E23" s="54" t="n">
        <v>45118</v>
      </c>
      <c r="F23" s="55" t="n">
        <v>320</v>
      </c>
      <c r="G23" s="55" t="s">
        <v>10</v>
      </c>
      <c r="H23" s="56" t="n">
        <v>7.7</v>
      </c>
      <c r="I23" s="55"/>
      <c r="J23" s="55"/>
      <c r="K23" s="56" t="n">
        <v>2006</v>
      </c>
    </row>
    <row r="24" customFormat="false" ht="12" hidden="false" customHeight="true" outlineLevel="0" collapsed="false">
      <c r="A24" s="54" t="s">
        <v>969</v>
      </c>
      <c r="B24" s="54" t="s">
        <v>937</v>
      </c>
      <c r="C24" s="54" t="s">
        <v>684</v>
      </c>
      <c r="D24" s="54" t="n">
        <v>45118</v>
      </c>
      <c r="E24" s="54" t="n">
        <v>45124</v>
      </c>
      <c r="F24" s="55" t="n">
        <v>448</v>
      </c>
      <c r="G24" s="55" t="s">
        <v>10</v>
      </c>
      <c r="H24" s="56" t="n">
        <v>6.5</v>
      </c>
      <c r="I24" s="55"/>
      <c r="J24" s="55"/>
      <c r="K24" s="56" t="n">
        <v>1973</v>
      </c>
    </row>
    <row r="25" customFormat="false" ht="12" hidden="false" customHeight="true" outlineLevel="0" collapsed="false">
      <c r="A25" s="54" t="s">
        <v>970</v>
      </c>
      <c r="B25" s="54" t="s">
        <v>261</v>
      </c>
      <c r="C25" s="54" t="s">
        <v>189</v>
      </c>
      <c r="D25" s="54" t="n">
        <v>45110</v>
      </c>
      <c r="E25" s="54" t="n">
        <v>45159</v>
      </c>
      <c r="F25" s="55" t="n">
        <v>255</v>
      </c>
      <c r="G25" s="55" t="s">
        <v>24</v>
      </c>
      <c r="H25" s="56" t="n">
        <v>7.3</v>
      </c>
      <c r="I25" s="55"/>
      <c r="J25" s="55"/>
      <c r="K25" s="56" t="n">
        <v>1987</v>
      </c>
    </row>
    <row r="26" customFormat="false" ht="12" hidden="false" customHeight="true" outlineLevel="0" collapsed="false">
      <c r="A26" s="54" t="s">
        <v>971</v>
      </c>
      <c r="B26" s="54" t="s">
        <v>972</v>
      </c>
      <c r="C26" s="54" t="s">
        <v>189</v>
      </c>
      <c r="D26" s="54" t="n">
        <v>45120</v>
      </c>
      <c r="E26" s="54" t="n">
        <v>45137</v>
      </c>
      <c r="F26" s="55" t="n">
        <v>864</v>
      </c>
      <c r="G26" s="55" t="s">
        <v>58</v>
      </c>
      <c r="H26" s="56" t="n">
        <v>7.9</v>
      </c>
      <c r="I26" s="55"/>
      <c r="J26" s="55"/>
      <c r="K26" s="56" t="n">
        <v>2016</v>
      </c>
    </row>
    <row r="27" customFormat="false" ht="12" hidden="false" customHeight="true" outlineLevel="0" collapsed="false">
      <c r="A27" s="54" t="s">
        <v>973</v>
      </c>
      <c r="B27" s="54" t="s">
        <v>974</v>
      </c>
      <c r="C27" s="54" t="s">
        <v>189</v>
      </c>
      <c r="D27" s="54" t="n">
        <v>45137</v>
      </c>
      <c r="E27" s="54" t="n">
        <v>45147</v>
      </c>
      <c r="F27" s="55" t="n">
        <v>512</v>
      </c>
      <c r="G27" s="55" t="s">
        <v>10</v>
      </c>
      <c r="H27" s="56" t="n">
        <v>6.5</v>
      </c>
      <c r="I27" s="55"/>
      <c r="J27" s="55"/>
      <c r="K27" s="56" t="n">
        <v>2004</v>
      </c>
    </row>
    <row r="28" customFormat="false" ht="12" hidden="false" customHeight="true" outlineLevel="0" collapsed="false">
      <c r="A28" s="54" t="s">
        <v>975</v>
      </c>
      <c r="B28" s="54" t="s">
        <v>976</v>
      </c>
      <c r="C28" s="54" t="s">
        <v>189</v>
      </c>
      <c r="D28" s="54" t="n">
        <v>45147</v>
      </c>
      <c r="E28" s="54" t="n">
        <v>45151</v>
      </c>
      <c r="F28" s="55" t="n">
        <v>336</v>
      </c>
      <c r="G28" s="55" t="s">
        <v>58</v>
      </c>
      <c r="H28" s="56" t="n">
        <v>5</v>
      </c>
      <c r="I28" s="55"/>
      <c r="J28" s="55"/>
      <c r="K28" s="56" t="n">
        <v>2013</v>
      </c>
    </row>
    <row r="29" customFormat="false" ht="12" hidden="false" customHeight="true" outlineLevel="0" collapsed="false">
      <c r="A29" s="54" t="s">
        <v>977</v>
      </c>
      <c r="B29" s="54" t="s">
        <v>675</v>
      </c>
      <c r="C29" s="54" t="s">
        <v>189</v>
      </c>
      <c r="D29" s="54" t="n">
        <v>45151</v>
      </c>
      <c r="E29" s="54" t="n">
        <v>45154</v>
      </c>
      <c r="F29" s="55" t="n">
        <v>414</v>
      </c>
      <c r="G29" s="55" t="s">
        <v>10</v>
      </c>
      <c r="H29" s="56" t="n">
        <v>7</v>
      </c>
      <c r="I29" s="55"/>
      <c r="J29" s="55"/>
      <c r="K29" s="56" t="n">
        <v>2005</v>
      </c>
    </row>
    <row r="30" customFormat="false" ht="12" hidden="false" customHeight="true" outlineLevel="0" collapsed="false">
      <c r="A30" s="54" t="s">
        <v>978</v>
      </c>
      <c r="B30" s="54" t="s">
        <v>979</v>
      </c>
      <c r="C30" s="54" t="s">
        <v>189</v>
      </c>
      <c r="D30" s="54" t="n">
        <v>45154</v>
      </c>
      <c r="E30" s="54" t="n">
        <v>45169</v>
      </c>
      <c r="F30" s="55" t="n">
        <v>752</v>
      </c>
      <c r="G30" s="55" t="s">
        <v>58</v>
      </c>
      <c r="H30" s="56" t="n">
        <v>8</v>
      </c>
      <c r="I30" s="55"/>
      <c r="J30" s="55"/>
      <c r="K30" s="56" t="n">
        <v>2010</v>
      </c>
    </row>
    <row r="31" customFormat="false" ht="12" hidden="false" customHeight="true" outlineLevel="0" collapsed="false">
      <c r="A31" s="54" t="s">
        <v>980</v>
      </c>
      <c r="B31" s="54" t="s">
        <v>670</v>
      </c>
      <c r="C31" s="54" t="s">
        <v>189</v>
      </c>
      <c r="D31" s="54" t="n">
        <v>45159</v>
      </c>
      <c r="E31" s="54" t="n">
        <v>45162</v>
      </c>
      <c r="F31" s="55" t="n">
        <v>464</v>
      </c>
      <c r="G31" s="55" t="s">
        <v>10</v>
      </c>
      <c r="H31" s="56" t="n">
        <v>8</v>
      </c>
      <c r="I31" s="55"/>
      <c r="J31" s="55"/>
      <c r="K31" s="56" t="n">
        <v>2014</v>
      </c>
    </row>
    <row r="32" customFormat="false" ht="12" hidden="false" customHeight="true" outlineLevel="0" collapsed="false">
      <c r="A32" s="54" t="s">
        <v>981</v>
      </c>
      <c r="B32" s="54" t="s">
        <v>537</v>
      </c>
      <c r="C32" s="54" t="s">
        <v>189</v>
      </c>
      <c r="D32" s="54" t="n">
        <v>45162</v>
      </c>
      <c r="E32" s="54" t="n">
        <v>45170</v>
      </c>
      <c r="F32" s="55" t="n">
        <v>296</v>
      </c>
      <c r="G32" s="55" t="s">
        <v>10</v>
      </c>
      <c r="H32" s="56" t="n">
        <v>7.8</v>
      </c>
      <c r="I32" s="55"/>
      <c r="J32" s="55"/>
      <c r="K32" s="56" t="n">
        <v>1984</v>
      </c>
    </row>
    <row r="33" customFormat="false" ht="12" hidden="false" customHeight="true" outlineLevel="0" collapsed="false">
      <c r="A33" s="54" t="s">
        <v>982</v>
      </c>
      <c r="B33" s="54" t="s">
        <v>191</v>
      </c>
      <c r="C33" s="54" t="s">
        <v>189</v>
      </c>
      <c r="D33" s="54" t="n">
        <v>45170</v>
      </c>
      <c r="E33" s="54" t="n">
        <v>45183</v>
      </c>
      <c r="F33" s="55" t="n">
        <v>416</v>
      </c>
      <c r="G33" s="55" t="s">
        <v>10</v>
      </c>
      <c r="H33" s="56" t="n">
        <v>6.9</v>
      </c>
      <c r="I33" s="55"/>
      <c r="J33" s="55"/>
      <c r="K33" s="56" t="n">
        <v>1985</v>
      </c>
    </row>
    <row r="34" customFormat="false" ht="12" hidden="false" customHeight="true" outlineLevel="0" collapsed="false">
      <c r="A34" s="54" t="s">
        <v>983</v>
      </c>
      <c r="B34" s="54" t="s">
        <v>907</v>
      </c>
      <c r="C34" s="54" t="s">
        <v>684</v>
      </c>
      <c r="D34" s="54" t="n">
        <v>45177</v>
      </c>
      <c r="E34" s="54" t="n">
        <v>45186</v>
      </c>
      <c r="F34" s="55" t="n">
        <v>423</v>
      </c>
      <c r="G34" s="55" t="s">
        <v>10</v>
      </c>
      <c r="H34" s="56" t="n">
        <v>8</v>
      </c>
      <c r="I34" s="55"/>
      <c r="J34" s="55"/>
      <c r="K34" s="56" t="n">
        <v>2022</v>
      </c>
    </row>
    <row r="35" customFormat="false" ht="12" hidden="false" customHeight="true" outlineLevel="0" collapsed="false">
      <c r="A35" s="54" t="s">
        <v>984</v>
      </c>
      <c r="B35" s="54" t="s">
        <v>985</v>
      </c>
      <c r="C35" s="54" t="s">
        <v>684</v>
      </c>
      <c r="D35" s="54" t="n">
        <v>45227</v>
      </c>
      <c r="E35" s="54" t="n">
        <v>45231</v>
      </c>
      <c r="F35" s="55" t="n">
        <v>136</v>
      </c>
      <c r="G35" s="55" t="s">
        <v>790</v>
      </c>
      <c r="H35" s="56" t="n">
        <v>5</v>
      </c>
      <c r="I35" s="55"/>
      <c r="J35" s="55"/>
      <c r="K35" s="56" t="n">
        <v>2022</v>
      </c>
    </row>
    <row r="36" customFormat="false" ht="12" hidden="false" customHeight="true" outlineLevel="0" collapsed="false">
      <c r="A36" s="54" t="s">
        <v>986</v>
      </c>
      <c r="B36" s="54" t="s">
        <v>925</v>
      </c>
      <c r="C36" s="54" t="s">
        <v>684</v>
      </c>
      <c r="D36" s="54" t="n">
        <v>45186</v>
      </c>
      <c r="E36" s="54" t="n">
        <v>45193</v>
      </c>
      <c r="F36" s="55" t="n">
        <v>294</v>
      </c>
      <c r="G36" s="55" t="s">
        <v>10</v>
      </c>
      <c r="H36" s="56" t="n">
        <v>6.5</v>
      </c>
      <c r="I36" s="55"/>
      <c r="J36" s="55"/>
      <c r="K36" s="56" t="n">
        <v>2022</v>
      </c>
    </row>
    <row r="37" customFormat="false" ht="12" hidden="false" customHeight="true" outlineLevel="0" collapsed="false">
      <c r="A37" s="54" t="s">
        <v>987</v>
      </c>
      <c r="B37" s="54" t="s">
        <v>988</v>
      </c>
      <c r="C37" s="54" t="s">
        <v>684</v>
      </c>
      <c r="D37" s="54" t="n">
        <v>45201</v>
      </c>
      <c r="E37" s="54" t="n">
        <v>45225</v>
      </c>
      <c r="F37" s="55" t="n">
        <v>541</v>
      </c>
      <c r="G37" s="55" t="s">
        <v>24</v>
      </c>
      <c r="H37" s="56" t="n">
        <v>8</v>
      </c>
      <c r="I37" s="55"/>
      <c r="J37" s="55"/>
      <c r="K37" s="56" t="n">
        <v>1992</v>
      </c>
    </row>
    <row r="38" customFormat="false" ht="12" hidden="false" customHeight="true" outlineLevel="0" collapsed="false">
      <c r="A38" s="54" t="s">
        <v>989</v>
      </c>
      <c r="B38" s="54" t="s">
        <v>990</v>
      </c>
      <c r="C38" s="54" t="s">
        <v>684</v>
      </c>
      <c r="D38" s="54" t="n">
        <v>45170</v>
      </c>
      <c r="E38" s="54" t="n">
        <v>45176</v>
      </c>
      <c r="F38" s="55" t="n">
        <v>267</v>
      </c>
      <c r="G38" s="55" t="s">
        <v>560</v>
      </c>
      <c r="H38" s="56" t="n">
        <v>9</v>
      </c>
      <c r="I38" s="55"/>
      <c r="J38" s="55"/>
      <c r="K38" s="56" t="n">
        <v>2023</v>
      </c>
    </row>
    <row r="39" customFormat="false" ht="12" hidden="false" customHeight="true" outlineLevel="0" collapsed="false">
      <c r="A39" s="54" t="s">
        <v>991</v>
      </c>
      <c r="B39" s="54" t="s">
        <v>150</v>
      </c>
      <c r="C39" s="54" t="s">
        <v>189</v>
      </c>
      <c r="D39" s="54" t="n">
        <v>45183</v>
      </c>
      <c r="E39" s="54" t="n">
        <v>45193</v>
      </c>
      <c r="F39" s="55" t="n">
        <v>192</v>
      </c>
      <c r="G39" s="55" t="s">
        <v>10</v>
      </c>
      <c r="H39" s="56" t="n">
        <v>8.5</v>
      </c>
      <c r="I39" s="55"/>
      <c r="J39" s="55"/>
      <c r="K39" s="56" t="n">
        <v>1969</v>
      </c>
    </row>
    <row r="40" customFormat="false" ht="12" hidden="false" customHeight="true" outlineLevel="0" collapsed="false">
      <c r="A40" s="54" t="s">
        <v>992</v>
      </c>
      <c r="B40" s="54" t="s">
        <v>261</v>
      </c>
      <c r="C40" s="54" t="s">
        <v>684</v>
      </c>
      <c r="D40" s="54" t="n">
        <v>45193</v>
      </c>
      <c r="E40" s="54" t="n">
        <v>45201</v>
      </c>
      <c r="F40" s="55" t="n">
        <v>360</v>
      </c>
      <c r="G40" s="55" t="s">
        <v>58</v>
      </c>
      <c r="H40" s="56" t="n">
        <v>8</v>
      </c>
      <c r="I40" s="55"/>
      <c r="J40" s="55"/>
      <c r="K40" s="56" t="n">
        <v>1982</v>
      </c>
    </row>
    <row r="41" customFormat="false" ht="12" hidden="false" customHeight="true" outlineLevel="0" collapsed="false">
      <c r="A41" s="54" t="s">
        <v>993</v>
      </c>
      <c r="B41" s="54" t="s">
        <v>965</v>
      </c>
      <c r="C41" s="54" t="s">
        <v>189</v>
      </c>
      <c r="D41" s="54" t="n">
        <v>45193</v>
      </c>
      <c r="E41" s="54" t="n">
        <v>45239</v>
      </c>
      <c r="F41" s="55" t="n">
        <v>248</v>
      </c>
      <c r="G41" s="55" t="s">
        <v>10</v>
      </c>
      <c r="H41" s="56" t="n">
        <v>7.5</v>
      </c>
      <c r="I41" s="55"/>
      <c r="J41" s="55"/>
      <c r="K41" s="56" t="n">
        <v>1873</v>
      </c>
    </row>
    <row r="42" customFormat="false" ht="12" hidden="false" customHeight="true" outlineLevel="0" collapsed="false">
      <c r="A42" s="54" t="s">
        <v>994</v>
      </c>
      <c r="B42" s="54" t="s">
        <v>946</v>
      </c>
      <c r="C42" s="54" t="s">
        <v>189</v>
      </c>
      <c r="D42" s="54" t="n">
        <v>45196</v>
      </c>
      <c r="E42" s="54" t="n">
        <v>45207</v>
      </c>
      <c r="F42" s="55" t="n">
        <v>352</v>
      </c>
      <c r="G42" s="55" t="s">
        <v>10</v>
      </c>
      <c r="H42" s="56" t="n">
        <v>7.9</v>
      </c>
      <c r="I42" s="55"/>
      <c r="J42" s="55"/>
      <c r="K42" s="56" t="n">
        <v>1994</v>
      </c>
    </row>
    <row r="43" customFormat="false" ht="12" hidden="false" customHeight="true" outlineLevel="0" collapsed="false">
      <c r="A43" s="54" t="s">
        <v>995</v>
      </c>
      <c r="B43" s="54" t="s">
        <v>946</v>
      </c>
      <c r="C43" s="54" t="s">
        <v>189</v>
      </c>
      <c r="D43" s="54" t="n">
        <v>45207</v>
      </c>
      <c r="E43" s="54" t="n">
        <v>45232</v>
      </c>
      <c r="F43" s="55" t="n">
        <v>320</v>
      </c>
      <c r="G43" s="55" t="s">
        <v>10</v>
      </c>
      <c r="H43" s="56" t="n">
        <v>7.5</v>
      </c>
      <c r="I43" s="55"/>
      <c r="J43" s="55"/>
      <c r="K43" s="56" t="n">
        <v>1995</v>
      </c>
    </row>
    <row r="44" customFormat="false" ht="12" hidden="false" customHeight="true" outlineLevel="0" collapsed="false">
      <c r="A44" s="54" t="s">
        <v>996</v>
      </c>
      <c r="B44" s="54" t="s">
        <v>997</v>
      </c>
      <c r="C44" s="54" t="s">
        <v>189</v>
      </c>
      <c r="D44" s="54" t="n">
        <v>45207</v>
      </c>
      <c r="E44" s="54" t="n">
        <v>45211</v>
      </c>
      <c r="F44" s="55" t="n">
        <v>307</v>
      </c>
      <c r="G44" s="55" t="s">
        <v>10</v>
      </c>
      <c r="H44" s="56" t="n">
        <v>7.7</v>
      </c>
      <c r="I44" s="55"/>
      <c r="J44" s="55"/>
      <c r="K44" s="56" t="n">
        <v>2001</v>
      </c>
    </row>
    <row r="45" customFormat="false" ht="12" hidden="false" customHeight="true" outlineLevel="0" collapsed="false">
      <c r="A45" s="54" t="s">
        <v>998</v>
      </c>
      <c r="B45" s="54" t="s">
        <v>670</v>
      </c>
      <c r="C45" s="54" t="s">
        <v>189</v>
      </c>
      <c r="D45" s="54" t="n">
        <v>45239</v>
      </c>
      <c r="E45" s="54" t="n">
        <v>45245</v>
      </c>
      <c r="F45" s="55" t="n">
        <v>160</v>
      </c>
      <c r="G45" s="55" t="s">
        <v>10</v>
      </c>
      <c r="H45" s="56" t="n">
        <v>7</v>
      </c>
      <c r="I45" s="55"/>
      <c r="J45" s="55"/>
      <c r="K45" s="56" t="n">
        <v>1990</v>
      </c>
    </row>
    <row r="46" customFormat="false" ht="12" hidden="false" customHeight="true" outlineLevel="0" collapsed="false">
      <c r="A46" s="54" t="s">
        <v>999</v>
      </c>
      <c r="B46" s="54" t="s">
        <v>670</v>
      </c>
      <c r="C46" s="54" t="s">
        <v>189</v>
      </c>
      <c r="D46" s="54" t="n">
        <v>45245</v>
      </c>
      <c r="E46" s="54" t="n">
        <v>45261</v>
      </c>
      <c r="F46" s="55" t="n">
        <v>368</v>
      </c>
      <c r="G46" s="55" t="s">
        <v>10</v>
      </c>
      <c r="H46" s="56" t="n">
        <v>8</v>
      </c>
      <c r="I46" s="55"/>
      <c r="J46" s="55"/>
      <c r="K46" s="56" t="n">
        <v>1994</v>
      </c>
    </row>
    <row r="47" customFormat="false" ht="12" hidden="false" customHeight="true" outlineLevel="0" collapsed="false">
      <c r="A47" s="54" t="s">
        <v>1000</v>
      </c>
      <c r="B47" s="54" t="s">
        <v>1001</v>
      </c>
      <c r="C47" s="54" t="s">
        <v>189</v>
      </c>
      <c r="D47" s="54" t="n">
        <v>45261</v>
      </c>
      <c r="E47" s="54" t="n">
        <v>45266</v>
      </c>
      <c r="F47" s="55" t="n">
        <v>261</v>
      </c>
      <c r="G47" s="55" t="s">
        <v>10</v>
      </c>
      <c r="H47" s="56" t="n">
        <v>7</v>
      </c>
      <c r="I47" s="55"/>
      <c r="J47" s="55"/>
      <c r="K47" s="56" t="n">
        <v>2010</v>
      </c>
    </row>
    <row r="48" customFormat="false" ht="12" hidden="false" customHeight="true" outlineLevel="0" collapsed="false">
      <c r="A48" s="54" t="s">
        <v>1002</v>
      </c>
      <c r="B48" s="54" t="s">
        <v>1003</v>
      </c>
      <c r="C48" s="54" t="s">
        <v>189</v>
      </c>
      <c r="D48" s="54" t="n">
        <v>45266</v>
      </c>
      <c r="E48" s="54" t="n">
        <v>45290</v>
      </c>
      <c r="F48" s="55" t="n">
        <v>762</v>
      </c>
      <c r="G48" s="55" t="s">
        <v>10</v>
      </c>
      <c r="H48" s="56" t="n">
        <v>8</v>
      </c>
      <c r="I48" s="55"/>
      <c r="J48" s="55"/>
      <c r="K48" s="56" t="n">
        <v>2008</v>
      </c>
    </row>
    <row r="49" customFormat="false" ht="12" hidden="false" customHeight="true" outlineLevel="0" collapsed="false">
      <c r="F49" s="32" t="n">
        <f aca="false">SUMIFS(F2:F48,E2:E48,"&gt;0")</f>
        <v>17489</v>
      </c>
      <c r="G49" s="33"/>
      <c r="H49" s="34" t="n">
        <f aca="false">GEOMEAN(H2:H48)</f>
        <v>6.93508608484297</v>
      </c>
      <c r="I49" s="37" t="e">
        <f aca="false">NA()</f>
        <v>#N/A</v>
      </c>
      <c r="J49" s="37" t="e">
        <f aca="false">NA()</f>
        <v>#N/A</v>
      </c>
      <c r="K49" s="34"/>
    </row>
    <row r="50" customFormat="false" ht="12" hidden="false" customHeight="true" outlineLevel="0" collapsed="false">
      <c r="A50" s="24" t="s">
        <v>275</v>
      </c>
      <c r="I50" s="37" t="e">
        <f aca="false">NA()</f>
        <v>#N/A</v>
      </c>
      <c r="J50" s="37" t="e">
        <f aca="false">NA()</f>
        <v>#N/A</v>
      </c>
    </row>
    <row r="51" customFormat="false" ht="36" hidden="false" customHeight="true" outlineLevel="0" collapsed="false">
      <c r="A51" s="6" t="s">
        <v>277</v>
      </c>
      <c r="B51" s="6" t="s">
        <v>278</v>
      </c>
      <c r="C51" s="6" t="s">
        <v>279</v>
      </c>
      <c r="D51" s="6" t="s">
        <v>280</v>
      </c>
      <c r="I51" s="37" t="e">
        <f aca="false">NA()</f>
        <v>#N/A</v>
      </c>
      <c r="J51" s="37" t="e">
        <f aca="false">NA()</f>
        <v>#N/A</v>
      </c>
    </row>
    <row r="52" customFormat="false" ht="12" hidden="false" customHeight="true" outlineLevel="0" collapsed="false">
      <c r="A52" s="6" t="n">
        <f aca="false">COUNTIF(E2:E48,"&gt;0")</f>
        <v>47</v>
      </c>
      <c r="B52" s="6" t="n">
        <f aca="false">ROUND(F49/A52,0)</f>
        <v>372</v>
      </c>
      <c r="C52" s="6" t="e">
        <f aca="false">INDEX(J2:J73,MATCH(MAX(I2:I73),I2:I73,0),1)</f>
        <v>#N/A</v>
      </c>
      <c r="D52" s="6"/>
      <c r="I52" s="37" t="e">
        <f aca="false">NA()</f>
        <v>#N/A</v>
      </c>
      <c r="J52" s="37" t="e">
        <f aca="false">NA()</f>
        <v>#N/A</v>
      </c>
    </row>
    <row r="53" customFormat="false" ht="12" hidden="false" customHeight="true" outlineLevel="0" collapsed="false">
      <c r="I53" s="37" t="e">
        <f aca="false">NA()</f>
        <v>#N/A</v>
      </c>
      <c r="J53" s="37" t="e">
        <f aca="false">NA()</f>
        <v>#N/A</v>
      </c>
    </row>
    <row r="54" customFormat="false" ht="12" hidden="false" customHeight="true" outlineLevel="0" collapsed="false">
      <c r="I54" s="37" t="e">
        <f aca="false">NA()</f>
        <v>#N/A</v>
      </c>
      <c r="J54" s="37" t="e">
        <f aca="false">NA()</f>
        <v>#N/A</v>
      </c>
    </row>
    <row r="55" customFormat="false" ht="12" hidden="false" customHeight="true" outlineLevel="0" collapsed="false">
      <c r="I55" s="37" t="e">
        <f aca="false">NA()</f>
        <v>#N/A</v>
      </c>
      <c r="J55" s="37" t="e">
        <f aca="false">NA()</f>
        <v>#N/A</v>
      </c>
    </row>
    <row r="56" customFormat="false" ht="12" hidden="false" customHeight="true" outlineLevel="0" collapsed="false">
      <c r="I56" s="37" t="e">
        <f aca="false">NA()</f>
        <v>#N/A</v>
      </c>
      <c r="J56" s="37" t="e">
        <f aca="false">NA()</f>
        <v>#N/A</v>
      </c>
    </row>
    <row r="57" customFormat="false" ht="12" hidden="false" customHeight="true" outlineLevel="0" collapsed="false">
      <c r="I57" s="37" t="e">
        <f aca="false">NA()</f>
        <v>#N/A</v>
      </c>
      <c r="J57" s="37" t="e">
        <f aca="false">NA()</f>
        <v>#N/A</v>
      </c>
    </row>
    <row r="58" customFormat="false" ht="12" hidden="false" customHeight="true" outlineLevel="0" collapsed="false">
      <c r="I58" s="37" t="e">
        <f aca="false">NA()</f>
        <v>#N/A</v>
      </c>
      <c r="J58" s="37" t="e">
        <f aca="false">NA()</f>
        <v>#N/A</v>
      </c>
    </row>
    <row r="59" customFormat="false" ht="12" hidden="false" customHeight="true" outlineLevel="0" collapsed="false">
      <c r="I59" s="37" t="e">
        <f aca="false">NA()</f>
        <v>#N/A</v>
      </c>
      <c r="J59" s="37" t="e">
        <f aca="false">NA()</f>
        <v>#N/A</v>
      </c>
    </row>
    <row r="60" customFormat="false" ht="12" hidden="false" customHeight="true" outlineLevel="0" collapsed="false">
      <c r="I60" s="37" t="e">
        <f aca="false">NA()</f>
        <v>#N/A</v>
      </c>
      <c r="J60" s="37" t="e">
        <f aca="false">NA()</f>
        <v>#N/A</v>
      </c>
    </row>
    <row r="61" customFormat="false" ht="12" hidden="false" customHeight="true" outlineLevel="0" collapsed="false">
      <c r="I61" s="37" t="e">
        <f aca="false">NA()</f>
        <v>#N/A</v>
      </c>
      <c r="J61" s="37" t="e">
        <f aca="false">NA()</f>
        <v>#N/A</v>
      </c>
    </row>
    <row r="62" customFormat="false" ht="12" hidden="false" customHeight="true" outlineLevel="0" collapsed="false">
      <c r="I62" s="37" t="e">
        <f aca="false">NA()</f>
        <v>#N/A</v>
      </c>
      <c r="J62" s="37" t="e">
        <f aca="false">NA()</f>
        <v>#N/A</v>
      </c>
    </row>
    <row r="63" customFormat="false" ht="12" hidden="false" customHeight="true" outlineLevel="0" collapsed="false">
      <c r="I63" s="37" t="e">
        <f aca="false">NA()</f>
        <v>#N/A</v>
      </c>
      <c r="J63" s="37" t="e">
        <f aca="false">NA()</f>
        <v>#N/A</v>
      </c>
    </row>
    <row r="64" customFormat="false" ht="12" hidden="false" customHeight="true" outlineLevel="0" collapsed="false">
      <c r="I64" s="37" t="e">
        <f aca="false">NA()</f>
        <v>#N/A</v>
      </c>
      <c r="J64" s="37" t="e">
        <f aca="false">NA()</f>
        <v>#N/A</v>
      </c>
    </row>
    <row r="65" customFormat="false" ht="12" hidden="false" customHeight="true" outlineLevel="0" collapsed="false">
      <c r="I65" s="37" t="e">
        <f aca="false">NA()</f>
        <v>#N/A</v>
      </c>
      <c r="J65" s="37" t="e">
        <f aca="false">NA()</f>
        <v>#N/A</v>
      </c>
    </row>
    <row r="66" customFormat="false" ht="12" hidden="false" customHeight="true" outlineLevel="0" collapsed="false">
      <c r="I66" s="37" t="e">
        <f aca="false">NA()</f>
        <v>#N/A</v>
      </c>
      <c r="J66" s="37" t="e">
        <f aca="false">NA()</f>
        <v>#N/A</v>
      </c>
    </row>
    <row r="67" customFormat="false" ht="12" hidden="false" customHeight="true" outlineLevel="0" collapsed="false">
      <c r="I67" s="37" t="e">
        <f aca="false">NA()</f>
        <v>#N/A</v>
      </c>
      <c r="J67" s="37" t="e">
        <f aca="false">NA()</f>
        <v>#N/A</v>
      </c>
    </row>
    <row r="68" customFormat="false" ht="12" hidden="false" customHeight="true" outlineLevel="0" collapsed="false">
      <c r="I68" s="37" t="e">
        <f aca="false">NA()</f>
        <v>#N/A</v>
      </c>
      <c r="J68" s="37" t="e">
        <f aca="false">NA()</f>
        <v>#N/A</v>
      </c>
    </row>
    <row r="69" customFormat="false" ht="12" hidden="false" customHeight="true" outlineLevel="0" collapsed="false">
      <c r="I69" s="37" t="e">
        <f aca="false">NA()</f>
        <v>#N/A</v>
      </c>
      <c r="J69" s="37" t="e">
        <f aca="false">NA()</f>
        <v>#N/A</v>
      </c>
    </row>
    <row r="70" customFormat="false" ht="12" hidden="false" customHeight="true" outlineLevel="0" collapsed="false">
      <c r="I70" s="37" t="e">
        <f aca="false">NA()</f>
        <v>#N/A</v>
      </c>
      <c r="J70" s="37" t="e">
        <f aca="false">NA()</f>
        <v>#N/A</v>
      </c>
    </row>
    <row r="71" customFormat="false" ht="12" hidden="false" customHeight="true" outlineLevel="0" collapsed="false">
      <c r="I71" s="37" t="e">
        <f aca="false">NA()</f>
        <v>#N/A</v>
      </c>
      <c r="J71" s="37" t="e">
        <f aca="false">NA()</f>
        <v>#N/A</v>
      </c>
    </row>
    <row r="72" customFormat="false" ht="12" hidden="false" customHeight="true" outlineLevel="0" collapsed="false">
      <c r="I72" s="37" t="e">
        <f aca="false">NA()</f>
        <v>#N/A</v>
      </c>
      <c r="J72" s="37" t="e">
        <f aca="false">NA()</f>
        <v>#N/A</v>
      </c>
    </row>
    <row r="73" customFormat="false" ht="12" hidden="false" customHeight="true" outlineLevel="0" collapsed="false">
      <c r="I73" s="37" t="e">
        <f aca="false">NA()</f>
        <v>#N/A</v>
      </c>
      <c r="J73" s="37" t="e">
        <f aca="false">NA()</f>
        <v>#N/A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27" activeCellId="0" sqref="B27"/>
    </sheetView>
  </sheetViews>
  <sheetFormatPr defaultColWidth="10.5" defaultRowHeight="12" zeroHeight="false" outlineLevelRow="0" outlineLevelCol="0"/>
  <cols>
    <col collapsed="false" customWidth="true" hidden="false" outlineLevel="0" max="1" min="1" style="0" width="47.49"/>
    <col collapsed="false" customWidth="true" hidden="false" outlineLevel="0" max="2" min="2" style="0" width="27.49"/>
    <col collapsed="false" customWidth="true" hidden="false" outlineLevel="0" max="3" min="3" style="0" width="6.5"/>
    <col collapsed="false" customWidth="true" hidden="false" outlineLevel="0" max="4" min="4" style="0" width="11.5"/>
    <col collapsed="false" customWidth="true" hidden="false" outlineLevel="0" max="6" min="6" style="0" width="11.5"/>
    <col collapsed="false" customWidth="true" hidden="false" outlineLevel="0" max="8" min="8" style="0" width="14.49"/>
    <col collapsed="false" customWidth="false" hidden="true" outlineLevel="0" max="10" min="9" style="0" width="10.5"/>
    <col collapsed="false" customWidth="true" hidden="false" outlineLevel="0" max="11" min="11" style="0" width="22.49"/>
  </cols>
  <sheetData>
    <row r="1" s="6" customFormat="true" ht="12.75" hidden="false" customHeight="true" outlineLevel="0" collapsed="false">
      <c r="A1" s="24" t="s">
        <v>0</v>
      </c>
      <c r="B1" s="25" t="s">
        <v>1</v>
      </c>
      <c r="C1" s="25" t="s">
        <v>2</v>
      </c>
      <c r="D1" s="26" t="s">
        <v>3</v>
      </c>
      <c r="E1" s="27" t="s">
        <v>4</v>
      </c>
      <c r="F1" s="26" t="s">
        <v>5</v>
      </c>
      <c r="G1" s="27" t="s">
        <v>6</v>
      </c>
      <c r="H1" s="28" t="s">
        <v>7</v>
      </c>
      <c r="I1" s="35" t="s">
        <v>281</v>
      </c>
      <c r="J1" s="36" t="s">
        <v>1</v>
      </c>
      <c r="K1" s="28" t="s">
        <v>513</v>
      </c>
    </row>
    <row r="2" customFormat="false" ht="12" hidden="false" customHeight="true" outlineLevel="0" collapsed="false">
      <c r="A2" s="49" t="s">
        <v>725</v>
      </c>
      <c r="B2" s="49" t="s">
        <v>426</v>
      </c>
      <c r="C2" s="49" t="s">
        <v>189</v>
      </c>
      <c r="D2" s="49" t="n">
        <v>43318</v>
      </c>
      <c r="E2" s="49"/>
      <c r="F2" s="52" t="n">
        <v>304</v>
      </c>
      <c r="G2" s="52" t="s">
        <v>10</v>
      </c>
      <c r="H2" s="51"/>
      <c r="I2" s="37"/>
      <c r="J2" s="37"/>
      <c r="K2" s="51" t="n">
        <v>1969</v>
      </c>
    </row>
    <row r="3" customFormat="false" ht="12" hidden="false" customHeight="true" outlineLevel="0" collapsed="false">
      <c r="A3" s="49" t="s">
        <v>927</v>
      </c>
      <c r="B3" s="49" t="s">
        <v>928</v>
      </c>
      <c r="C3" s="49" t="s">
        <v>684</v>
      </c>
      <c r="D3" s="49" t="n">
        <v>44860</v>
      </c>
      <c r="E3" s="49"/>
      <c r="F3" s="52" t="n">
        <v>416</v>
      </c>
      <c r="G3" s="52" t="s">
        <v>24</v>
      </c>
      <c r="H3" s="51"/>
      <c r="I3" s="37"/>
      <c r="J3" s="37"/>
      <c r="K3" s="51" t="n">
        <v>2022</v>
      </c>
    </row>
    <row r="4" customFormat="false" ht="12" hidden="false" customHeight="true" outlineLevel="0" collapsed="false">
      <c r="A4" s="49" t="s">
        <v>1004</v>
      </c>
      <c r="B4" s="49" t="s">
        <v>1005</v>
      </c>
      <c r="C4" s="49" t="s">
        <v>684</v>
      </c>
      <c r="D4" s="49" t="n">
        <v>44929</v>
      </c>
      <c r="E4" s="49"/>
      <c r="F4" s="52" t="n">
        <v>668</v>
      </c>
      <c r="G4" s="52" t="s">
        <v>735</v>
      </c>
      <c r="H4" s="51"/>
      <c r="I4" s="37"/>
      <c r="J4" s="37"/>
      <c r="K4" s="51" t="n">
        <v>1320</v>
      </c>
    </row>
    <row r="5" customFormat="false" ht="12" hidden="false" customHeight="true" outlineLevel="0" collapsed="false">
      <c r="A5" s="49" t="s">
        <v>854</v>
      </c>
      <c r="B5" s="49" t="s">
        <v>840</v>
      </c>
      <c r="C5" s="49" t="s">
        <v>189</v>
      </c>
      <c r="D5" s="49" t="n">
        <v>44406</v>
      </c>
      <c r="E5" s="49"/>
      <c r="F5" s="52" t="n">
        <v>384</v>
      </c>
      <c r="G5" s="52" t="s">
        <v>10</v>
      </c>
      <c r="H5" s="51"/>
      <c r="I5" s="37"/>
      <c r="J5" s="37"/>
      <c r="K5" s="51" t="n">
        <v>1984</v>
      </c>
    </row>
    <row r="6" customFormat="false" ht="12" hidden="false" customHeight="true" outlineLevel="0" collapsed="false">
      <c r="A6" s="49" t="s">
        <v>1006</v>
      </c>
      <c r="B6" s="49" t="s">
        <v>1007</v>
      </c>
      <c r="C6" s="49" t="s">
        <v>684</v>
      </c>
      <c r="D6" s="49" t="n">
        <v>45124</v>
      </c>
      <c r="E6" s="49"/>
      <c r="F6" s="52" t="n">
        <v>351</v>
      </c>
      <c r="G6" s="52" t="s">
        <v>10</v>
      </c>
      <c r="H6" s="51"/>
      <c r="I6" s="37"/>
      <c r="J6" s="37"/>
      <c r="K6" s="51" t="n">
        <v>2005</v>
      </c>
    </row>
    <row r="7" customFormat="false" ht="12" hidden="false" customHeight="true" outlineLevel="0" collapsed="false">
      <c r="A7" s="49" t="s">
        <v>1008</v>
      </c>
      <c r="B7" s="49" t="s">
        <v>144</v>
      </c>
      <c r="C7" s="49" t="s">
        <v>684</v>
      </c>
      <c r="D7" s="49"/>
      <c r="E7" s="49"/>
      <c r="F7" s="52" t="n">
        <v>651</v>
      </c>
      <c r="G7" s="52" t="s">
        <v>249</v>
      </c>
      <c r="H7" s="51"/>
      <c r="I7" s="37"/>
      <c r="J7" s="37"/>
      <c r="K7" s="51" t="n">
        <v>1987</v>
      </c>
    </row>
    <row r="8" customFormat="false" ht="12" hidden="false" customHeight="true" outlineLevel="0" collapsed="false">
      <c r="A8" s="49" t="s">
        <v>404</v>
      </c>
      <c r="B8" s="49" t="s">
        <v>405</v>
      </c>
      <c r="C8" s="49" t="s">
        <v>684</v>
      </c>
      <c r="D8" s="49"/>
      <c r="E8" s="49"/>
      <c r="F8" s="52" t="n">
        <v>676</v>
      </c>
      <c r="G8" s="52" t="s">
        <v>24</v>
      </c>
      <c r="H8" s="51"/>
      <c r="I8" s="37"/>
      <c r="J8" s="37"/>
      <c r="K8" s="51" t="n">
        <v>2019</v>
      </c>
    </row>
    <row r="9" customFormat="false" ht="12" hidden="false" customHeight="true" outlineLevel="0" collapsed="false">
      <c r="A9" s="49" t="s">
        <v>1009</v>
      </c>
      <c r="B9" s="49" t="s">
        <v>1010</v>
      </c>
      <c r="C9" s="49" t="s">
        <v>684</v>
      </c>
      <c r="D9" s="49"/>
      <c r="E9" s="49"/>
      <c r="F9" s="52" t="n">
        <v>150</v>
      </c>
      <c r="G9" s="52" t="s">
        <v>172</v>
      </c>
      <c r="H9" s="51"/>
      <c r="I9" s="37"/>
      <c r="J9" s="37"/>
      <c r="K9" s="51" t="n">
        <v>2022</v>
      </c>
    </row>
    <row r="10" customFormat="false" ht="12" hidden="false" customHeight="true" outlineLevel="0" collapsed="false">
      <c r="A10" s="49" t="s">
        <v>1011</v>
      </c>
      <c r="B10" s="49" t="s">
        <v>1012</v>
      </c>
      <c r="C10" s="49" t="s">
        <v>684</v>
      </c>
      <c r="D10" s="49"/>
      <c r="E10" s="49"/>
      <c r="F10" s="52" t="n">
        <v>746</v>
      </c>
      <c r="G10" s="52" t="s">
        <v>10</v>
      </c>
      <c r="H10" s="51"/>
      <c r="I10" s="37"/>
      <c r="J10" s="37"/>
      <c r="K10" s="51" t="n">
        <v>1984</v>
      </c>
    </row>
    <row r="11" customFormat="false" ht="12" hidden="false" customHeight="true" outlineLevel="0" collapsed="false">
      <c r="A11" s="49" t="s">
        <v>1013</v>
      </c>
      <c r="B11" s="49" t="s">
        <v>1014</v>
      </c>
      <c r="C11" s="49" t="s">
        <v>684</v>
      </c>
      <c r="D11" s="49"/>
      <c r="E11" s="49"/>
      <c r="F11" s="52" t="n">
        <v>218</v>
      </c>
      <c r="G11" s="52" t="s">
        <v>24</v>
      </c>
      <c r="H11" s="51"/>
      <c r="I11" s="37"/>
      <c r="J11" s="37"/>
      <c r="K11" s="51" t="n">
        <v>2022</v>
      </c>
    </row>
    <row r="12" customFormat="false" ht="12" hidden="false" customHeight="true" outlineLevel="0" collapsed="false">
      <c r="A12" s="49" t="s">
        <v>1015</v>
      </c>
      <c r="B12" s="49" t="s">
        <v>1016</v>
      </c>
      <c r="C12" s="49" t="s">
        <v>684</v>
      </c>
      <c r="D12" s="49" t="n">
        <v>45231</v>
      </c>
      <c r="E12" s="49"/>
      <c r="F12" s="52" t="n">
        <v>336</v>
      </c>
      <c r="G12" s="52" t="s">
        <v>58</v>
      </c>
      <c r="H12" s="51"/>
      <c r="I12" s="37"/>
      <c r="J12" s="37"/>
      <c r="K12" s="51" t="n">
        <v>1972</v>
      </c>
    </row>
    <row r="13" customFormat="false" ht="12" hidden="false" customHeight="true" outlineLevel="0" collapsed="false">
      <c r="A13" s="54" t="s">
        <v>1017</v>
      </c>
      <c r="B13" s="54" t="s">
        <v>539</v>
      </c>
      <c r="C13" s="54" t="s">
        <v>684</v>
      </c>
      <c r="D13" s="54" t="n">
        <v>45275</v>
      </c>
      <c r="E13" s="54" t="n">
        <v>45359</v>
      </c>
      <c r="F13" s="55" t="n">
        <v>368</v>
      </c>
      <c r="G13" s="55" t="s">
        <v>10</v>
      </c>
      <c r="H13" s="56" t="n">
        <v>7</v>
      </c>
      <c r="I13" s="55"/>
      <c r="J13" s="55"/>
      <c r="K13" s="56" t="n">
        <v>2017</v>
      </c>
    </row>
    <row r="14" customFormat="false" ht="12" hidden="false" customHeight="true" outlineLevel="0" collapsed="false">
      <c r="A14" s="54" t="s">
        <v>1018</v>
      </c>
      <c r="B14" s="54" t="s">
        <v>507</v>
      </c>
      <c r="C14" s="54" t="s">
        <v>684</v>
      </c>
      <c r="D14" s="54" t="n">
        <v>45204</v>
      </c>
      <c r="E14" s="54" t="n">
        <v>45316</v>
      </c>
      <c r="F14" s="55" t="n">
        <v>367</v>
      </c>
      <c r="G14" s="55" t="s">
        <v>10</v>
      </c>
      <c r="H14" s="56" t="n">
        <v>6</v>
      </c>
      <c r="I14" s="55"/>
      <c r="J14" s="55"/>
      <c r="K14" s="56" t="n">
        <v>2011</v>
      </c>
    </row>
    <row r="15" customFormat="false" ht="12" hidden="false" customHeight="true" outlineLevel="0" collapsed="false">
      <c r="A15" s="54" t="s">
        <v>1019</v>
      </c>
      <c r="B15" s="54" t="s">
        <v>1020</v>
      </c>
      <c r="C15" s="54" t="s">
        <v>189</v>
      </c>
      <c r="D15" s="54" t="n">
        <v>45290</v>
      </c>
      <c r="E15" s="54" t="n">
        <v>45306</v>
      </c>
      <c r="F15" s="55" t="n">
        <v>868</v>
      </c>
      <c r="G15" s="55" t="s">
        <v>10</v>
      </c>
      <c r="H15" s="56" t="n">
        <v>7</v>
      </c>
      <c r="I15" s="55"/>
      <c r="J15" s="55"/>
      <c r="K15" s="56" t="n">
        <v>2005</v>
      </c>
    </row>
    <row r="16" customFormat="false" ht="12" hidden="false" customHeight="true" outlineLevel="0" collapsed="false">
      <c r="A16" s="54" t="s">
        <v>1021</v>
      </c>
      <c r="B16" s="54" t="s">
        <v>1022</v>
      </c>
      <c r="C16" s="54" t="s">
        <v>189</v>
      </c>
      <c r="D16" s="54" t="n">
        <v>45296</v>
      </c>
      <c r="E16" s="54" t="n">
        <v>45314</v>
      </c>
      <c r="F16" s="55" t="n">
        <v>480</v>
      </c>
      <c r="G16" s="55" t="s">
        <v>58</v>
      </c>
      <c r="H16" s="56" t="n">
        <v>6</v>
      </c>
      <c r="I16" s="55"/>
      <c r="J16" s="55"/>
      <c r="K16" s="56" t="n">
        <v>2006</v>
      </c>
    </row>
    <row r="17" customFormat="false" ht="12" hidden="false" customHeight="true" outlineLevel="0" collapsed="false">
      <c r="A17" s="54" t="s">
        <v>1023</v>
      </c>
      <c r="B17" s="54" t="s">
        <v>925</v>
      </c>
      <c r="C17" s="54" t="s">
        <v>189</v>
      </c>
      <c r="D17" s="54" t="n">
        <v>45306</v>
      </c>
      <c r="E17" s="54" t="n">
        <v>45311</v>
      </c>
      <c r="F17" s="55" t="n">
        <v>304</v>
      </c>
      <c r="G17" s="55" t="s">
        <v>10</v>
      </c>
      <c r="H17" s="56" t="n">
        <v>6.9</v>
      </c>
      <c r="I17" s="55"/>
      <c r="J17" s="55"/>
      <c r="K17" s="56" t="n">
        <v>2007</v>
      </c>
    </row>
    <row r="18" customFormat="false" ht="12" hidden="false" customHeight="true" outlineLevel="0" collapsed="false">
      <c r="A18" s="54" t="s">
        <v>1024</v>
      </c>
      <c r="B18" s="54" t="s">
        <v>1025</v>
      </c>
      <c r="C18" s="54" t="s">
        <v>189</v>
      </c>
      <c r="D18" s="54" t="n">
        <v>45315</v>
      </c>
      <c r="E18" s="54" t="n">
        <v>45327</v>
      </c>
      <c r="F18" s="55" t="n">
        <v>443</v>
      </c>
      <c r="G18" s="55" t="s">
        <v>10</v>
      </c>
      <c r="H18" s="56" t="n">
        <v>7</v>
      </c>
      <c r="I18" s="55"/>
      <c r="J18" s="55"/>
      <c r="K18" s="56" t="n">
        <v>2006</v>
      </c>
    </row>
    <row r="19" customFormat="false" ht="12" hidden="false" customHeight="true" outlineLevel="0" collapsed="false">
      <c r="A19" s="54" t="s">
        <v>1026</v>
      </c>
      <c r="B19" s="54" t="s">
        <v>1027</v>
      </c>
      <c r="C19" s="54" t="s">
        <v>684</v>
      </c>
      <c r="D19" s="54" t="n">
        <v>45316</v>
      </c>
      <c r="E19" s="54" t="n">
        <v>45324</v>
      </c>
      <c r="F19" s="55" t="n">
        <v>343</v>
      </c>
      <c r="G19" s="55" t="s">
        <v>249</v>
      </c>
      <c r="H19" s="56" t="n">
        <v>8</v>
      </c>
      <c r="I19" s="55"/>
      <c r="J19" s="55"/>
      <c r="K19" s="56" t="n">
        <v>2019</v>
      </c>
    </row>
    <row r="20" customFormat="false" ht="12" hidden="false" customHeight="true" outlineLevel="0" collapsed="false">
      <c r="A20" s="54" t="s">
        <v>1028</v>
      </c>
      <c r="B20" s="54" t="s">
        <v>1029</v>
      </c>
      <c r="C20" s="54" t="s">
        <v>684</v>
      </c>
      <c r="D20" s="54" t="n">
        <v>45324</v>
      </c>
      <c r="E20" s="54" t="n">
        <v>45333</v>
      </c>
      <c r="F20" s="55" t="n">
        <v>186</v>
      </c>
      <c r="G20" s="55" t="s">
        <v>58</v>
      </c>
      <c r="H20" s="56" t="n">
        <v>8</v>
      </c>
      <c r="I20" s="55"/>
      <c r="J20" s="55"/>
      <c r="K20" s="56" t="n">
        <v>2023</v>
      </c>
    </row>
    <row r="21" customFormat="false" ht="12" hidden="false" customHeight="true" outlineLevel="0" collapsed="false">
      <c r="A21" s="54" t="s">
        <v>1030</v>
      </c>
      <c r="B21" s="54" t="s">
        <v>1025</v>
      </c>
      <c r="C21" s="54" t="s">
        <v>189</v>
      </c>
      <c r="D21" s="54" t="n">
        <v>45329</v>
      </c>
      <c r="E21" s="54" t="n">
        <v>45332</v>
      </c>
      <c r="F21" s="55" t="n">
        <v>152</v>
      </c>
      <c r="G21" s="55" t="s">
        <v>10</v>
      </c>
      <c r="H21" s="56" t="n">
        <v>7.7</v>
      </c>
      <c r="I21" s="55"/>
      <c r="J21" s="55"/>
      <c r="K21" s="56" t="n">
        <v>2019</v>
      </c>
    </row>
    <row r="22" customFormat="false" ht="12" hidden="false" customHeight="true" outlineLevel="0" collapsed="false">
      <c r="A22" s="49" t="s">
        <v>1031</v>
      </c>
      <c r="B22" s="49" t="s">
        <v>1032</v>
      </c>
      <c r="C22" s="49" t="s">
        <v>684</v>
      </c>
      <c r="D22" s="49" t="n">
        <v>45328</v>
      </c>
      <c r="E22" s="49"/>
      <c r="F22" s="52" t="n">
        <v>494</v>
      </c>
      <c r="G22" s="52" t="s">
        <v>10</v>
      </c>
      <c r="H22" s="51"/>
      <c r="I22" s="37"/>
      <c r="J22" s="37"/>
      <c r="K22" s="51" t="n">
        <v>1973</v>
      </c>
    </row>
    <row r="23" customFormat="false" ht="12" hidden="false" customHeight="true" outlineLevel="0" collapsed="false">
      <c r="A23" s="54" t="s">
        <v>1033</v>
      </c>
      <c r="B23" s="54" t="s">
        <v>1025</v>
      </c>
      <c r="C23" s="54" t="s">
        <v>189</v>
      </c>
      <c r="D23" s="54" t="n">
        <v>45333</v>
      </c>
      <c r="E23" s="54" t="n">
        <v>45336</v>
      </c>
      <c r="F23" s="55" t="n">
        <v>160</v>
      </c>
      <c r="G23" s="55" t="s">
        <v>10</v>
      </c>
      <c r="H23" s="56" t="n">
        <v>7.5</v>
      </c>
      <c r="I23" s="55"/>
      <c r="J23" s="55"/>
      <c r="K23" s="56" t="n">
        <v>2019</v>
      </c>
    </row>
    <row r="24" customFormat="false" ht="12" hidden="false" customHeight="true" outlineLevel="0" collapsed="false">
      <c r="A24" s="54" t="s">
        <v>1034</v>
      </c>
      <c r="B24" s="54" t="s">
        <v>1035</v>
      </c>
      <c r="C24" s="54" t="s">
        <v>189</v>
      </c>
      <c r="D24" s="54" t="n">
        <v>45336</v>
      </c>
      <c r="E24" s="54" t="n">
        <v>45347</v>
      </c>
      <c r="F24" s="55" t="n">
        <v>651</v>
      </c>
      <c r="G24" s="55" t="s">
        <v>10</v>
      </c>
      <c r="H24" s="56" t="n">
        <v>7</v>
      </c>
      <c r="I24" s="55"/>
      <c r="J24" s="55"/>
      <c r="K24" s="56" t="n">
        <v>2002</v>
      </c>
    </row>
    <row r="25" customFormat="false" ht="12" hidden="false" customHeight="true" outlineLevel="0" collapsed="false">
      <c r="A25" s="54" t="s">
        <v>1036</v>
      </c>
      <c r="B25" s="54" t="s">
        <v>1037</v>
      </c>
      <c r="C25" s="54" t="s">
        <v>189</v>
      </c>
      <c r="D25" s="54" t="n">
        <v>45347</v>
      </c>
      <c r="E25" s="54" t="n">
        <v>45369</v>
      </c>
      <c r="F25" s="55" t="n">
        <v>649</v>
      </c>
      <c r="G25" s="55" t="s">
        <v>10</v>
      </c>
      <c r="H25" s="56" t="n">
        <v>7</v>
      </c>
      <c r="I25" s="55"/>
      <c r="J25" s="55"/>
      <c r="K25" s="56" t="n">
        <v>1987</v>
      </c>
    </row>
    <row r="26" customFormat="false" ht="12" hidden="false" customHeight="true" outlineLevel="0" collapsed="false">
      <c r="A26" s="54" t="s">
        <v>1038</v>
      </c>
      <c r="B26" s="54" t="s">
        <v>1039</v>
      </c>
      <c r="C26" s="54" t="s">
        <v>684</v>
      </c>
      <c r="D26" s="54" t="n">
        <v>45359</v>
      </c>
      <c r="E26" s="54" t="n">
        <v>45452</v>
      </c>
      <c r="F26" s="55" t="n">
        <v>304</v>
      </c>
      <c r="G26" s="55" t="s">
        <v>1040</v>
      </c>
      <c r="H26" s="56" t="n">
        <v>7</v>
      </c>
      <c r="I26" s="55"/>
      <c r="J26" s="55"/>
      <c r="K26" s="56" t="n">
        <v>2020</v>
      </c>
    </row>
    <row r="27" customFormat="false" ht="12" hidden="false" customHeight="true" outlineLevel="0" collapsed="false">
      <c r="A27" s="54" t="s">
        <v>1041</v>
      </c>
      <c r="B27" s="54" t="s">
        <v>965</v>
      </c>
      <c r="C27" s="54" t="s">
        <v>189</v>
      </c>
      <c r="D27" s="54" t="n">
        <v>45369</v>
      </c>
      <c r="E27" s="54" t="n">
        <v>45373</v>
      </c>
      <c r="F27" s="55" t="n">
        <v>160</v>
      </c>
      <c r="G27" s="55" t="s">
        <v>10</v>
      </c>
      <c r="H27" s="56" t="n">
        <v>7</v>
      </c>
      <c r="I27" s="55"/>
      <c r="J27" s="55"/>
      <c r="K27" s="56" t="n">
        <v>1873</v>
      </c>
    </row>
    <row r="28" customFormat="false" ht="12" hidden="false" customHeight="true" outlineLevel="0" collapsed="false">
      <c r="A28" s="54" t="s">
        <v>1042</v>
      </c>
      <c r="B28" s="54" t="s">
        <v>1043</v>
      </c>
      <c r="C28" s="54" t="s">
        <v>189</v>
      </c>
      <c r="D28" s="54" t="n">
        <v>45373</v>
      </c>
      <c r="E28" s="54" t="n">
        <v>45380</v>
      </c>
      <c r="F28" s="55" t="n">
        <v>331</v>
      </c>
      <c r="G28" s="55" t="s">
        <v>10</v>
      </c>
      <c r="H28" s="56"/>
      <c r="I28" s="55"/>
      <c r="J28" s="55"/>
      <c r="K28" s="56" t="n">
        <v>1984</v>
      </c>
    </row>
    <row r="29" customFormat="false" ht="12" hidden="false" customHeight="true" outlineLevel="0" collapsed="false">
      <c r="A29" s="54" t="s">
        <v>1044</v>
      </c>
      <c r="B29" s="54" t="s">
        <v>925</v>
      </c>
      <c r="C29" s="54" t="s">
        <v>189</v>
      </c>
      <c r="D29" s="54" t="n">
        <v>45380</v>
      </c>
      <c r="E29" s="54" t="n">
        <v>45382</v>
      </c>
      <c r="F29" s="55" t="n">
        <v>352</v>
      </c>
      <c r="G29" s="55" t="s">
        <v>10</v>
      </c>
      <c r="H29" s="56" t="n">
        <v>6.5</v>
      </c>
      <c r="I29" s="55"/>
      <c r="J29" s="55"/>
      <c r="K29" s="56" t="n">
        <v>2010</v>
      </c>
    </row>
    <row r="30" customFormat="false" ht="12" hidden="false" customHeight="true" outlineLevel="0" collapsed="false">
      <c r="A30" s="54" t="s">
        <v>1045</v>
      </c>
      <c r="B30" s="54" t="s">
        <v>1046</v>
      </c>
      <c r="C30" s="54" t="s">
        <v>189</v>
      </c>
      <c r="D30" s="54" t="n">
        <v>45382</v>
      </c>
      <c r="E30" s="54" t="n">
        <v>45394</v>
      </c>
      <c r="F30" s="55" t="n">
        <v>422</v>
      </c>
      <c r="G30" s="55" t="s">
        <v>10</v>
      </c>
      <c r="H30" s="56" t="n">
        <v>7</v>
      </c>
      <c r="I30" s="55"/>
      <c r="J30" s="55"/>
      <c r="K30" s="56" t="n">
        <v>2006</v>
      </c>
    </row>
    <row r="31" customFormat="false" ht="12" hidden="false" customHeight="true" outlineLevel="0" collapsed="false">
      <c r="A31" s="54" t="s">
        <v>1047</v>
      </c>
      <c r="B31" s="54" t="s">
        <v>814</v>
      </c>
      <c r="C31" s="54" t="s">
        <v>189</v>
      </c>
      <c r="D31" s="54" t="n">
        <v>45394</v>
      </c>
      <c r="E31" s="54" t="n">
        <v>45398</v>
      </c>
      <c r="F31" s="55" t="n">
        <v>118</v>
      </c>
      <c r="G31" s="55" t="s">
        <v>10</v>
      </c>
      <c r="H31" s="56" t="n">
        <v>7</v>
      </c>
      <c r="I31" s="55"/>
      <c r="J31" s="55"/>
      <c r="K31" s="56" t="n">
        <v>1942</v>
      </c>
    </row>
    <row r="32" customFormat="false" ht="12" hidden="false" customHeight="true" outlineLevel="0" collapsed="false">
      <c r="A32" s="54" t="s">
        <v>1048</v>
      </c>
      <c r="B32" s="54" t="s">
        <v>925</v>
      </c>
      <c r="C32" s="54" t="s">
        <v>189</v>
      </c>
      <c r="D32" s="54" t="n">
        <v>45398</v>
      </c>
      <c r="E32" s="54" t="n">
        <v>45401</v>
      </c>
      <c r="F32" s="55" t="n">
        <v>412</v>
      </c>
      <c r="G32" s="55" t="s">
        <v>10</v>
      </c>
      <c r="H32" s="56" t="n">
        <v>7</v>
      </c>
      <c r="I32" s="55"/>
      <c r="J32" s="55"/>
      <c r="K32" s="56" t="n">
        <v>2006</v>
      </c>
    </row>
    <row r="33" customFormat="false" ht="12" hidden="false" customHeight="true" outlineLevel="0" collapsed="false">
      <c r="A33" s="54" t="s">
        <v>1049</v>
      </c>
      <c r="B33" s="54" t="s">
        <v>1037</v>
      </c>
      <c r="C33" s="54" t="s">
        <v>189</v>
      </c>
      <c r="D33" s="54" t="n">
        <v>45401</v>
      </c>
      <c r="E33" s="54" t="n">
        <v>45422</v>
      </c>
      <c r="F33" s="55" t="n">
        <v>386</v>
      </c>
      <c r="G33" s="55" t="s">
        <v>10</v>
      </c>
      <c r="H33" s="56" t="n">
        <v>7.5</v>
      </c>
      <c r="I33" s="55"/>
      <c r="J33" s="55"/>
      <c r="K33" s="56" t="n">
        <v>1988</v>
      </c>
    </row>
    <row r="34" customFormat="false" ht="12" hidden="false" customHeight="true" outlineLevel="0" collapsed="false">
      <c r="A34" s="54" t="s">
        <v>1050</v>
      </c>
      <c r="B34" s="54" t="s">
        <v>1051</v>
      </c>
      <c r="C34" s="54" t="s">
        <v>684</v>
      </c>
      <c r="D34" s="54" t="n">
        <v>45413</v>
      </c>
      <c r="E34" s="54" t="n">
        <v>45419</v>
      </c>
      <c r="F34" s="55" t="n">
        <v>288</v>
      </c>
      <c r="G34" s="55" t="s">
        <v>10</v>
      </c>
      <c r="H34" s="56" t="n">
        <v>8.4</v>
      </c>
      <c r="I34" s="55"/>
      <c r="J34" s="55"/>
      <c r="K34" s="56" t="n">
        <v>2023</v>
      </c>
    </row>
    <row r="35" customFormat="false" ht="12" hidden="false" customHeight="true" outlineLevel="0" collapsed="false">
      <c r="A35" s="54" t="s">
        <v>1052</v>
      </c>
      <c r="B35" s="54" t="s">
        <v>1053</v>
      </c>
      <c r="C35" s="54" t="s">
        <v>189</v>
      </c>
      <c r="D35" s="54" t="n">
        <v>45422</v>
      </c>
      <c r="E35" s="54" t="n">
        <v>45439</v>
      </c>
      <c r="F35" s="55" t="n">
        <v>763</v>
      </c>
      <c r="G35" s="55" t="s">
        <v>10</v>
      </c>
      <c r="H35" s="56" t="n">
        <v>5</v>
      </c>
      <c r="I35" s="55"/>
      <c r="J35" s="55"/>
      <c r="K35" s="56" t="n">
        <v>1985</v>
      </c>
    </row>
    <row r="36" customFormat="false" ht="12" hidden="false" customHeight="true" outlineLevel="0" collapsed="false">
      <c r="A36" s="54" t="s">
        <v>1054</v>
      </c>
      <c r="B36" s="54" t="s">
        <v>1055</v>
      </c>
      <c r="C36" s="54" t="s">
        <v>684</v>
      </c>
      <c r="D36" s="54" t="n">
        <v>45422</v>
      </c>
      <c r="E36" s="54" t="n">
        <v>45427</v>
      </c>
      <c r="F36" s="55" t="n">
        <v>373</v>
      </c>
      <c r="G36" s="55" t="s">
        <v>24</v>
      </c>
      <c r="H36" s="56" t="n">
        <v>6.5</v>
      </c>
      <c r="I36" s="55"/>
      <c r="J36" s="55"/>
      <c r="K36" s="56" t="n">
        <v>2022</v>
      </c>
    </row>
    <row r="37" customFormat="false" ht="12" hidden="false" customHeight="true" outlineLevel="0" collapsed="false">
      <c r="A37" s="54" t="s">
        <v>1056</v>
      </c>
      <c r="B37" s="54" t="s">
        <v>451</v>
      </c>
      <c r="C37" s="54" t="s">
        <v>684</v>
      </c>
      <c r="D37" s="54" t="n">
        <v>45427</v>
      </c>
      <c r="E37" s="54" t="n">
        <v>45430</v>
      </c>
      <c r="F37" s="55" t="n">
        <v>261</v>
      </c>
      <c r="G37" s="55" t="s">
        <v>24</v>
      </c>
      <c r="H37" s="56" t="n">
        <v>7</v>
      </c>
      <c r="I37" s="55"/>
      <c r="J37" s="55"/>
      <c r="K37" s="56" t="n">
        <v>2019</v>
      </c>
    </row>
    <row r="38" customFormat="false" ht="12" hidden="false" customHeight="true" outlineLevel="0" collapsed="false">
      <c r="A38" s="54" t="s">
        <v>1057</v>
      </c>
      <c r="B38" s="54" t="s">
        <v>907</v>
      </c>
      <c r="C38" s="54" t="s">
        <v>684</v>
      </c>
      <c r="D38" s="54" t="n">
        <v>45436</v>
      </c>
      <c r="E38" s="54" t="n">
        <v>45438</v>
      </c>
      <c r="F38" s="55" t="n">
        <v>416</v>
      </c>
      <c r="G38" s="55" t="s">
        <v>10</v>
      </c>
      <c r="H38" s="56" t="n">
        <v>7</v>
      </c>
      <c r="I38" s="55"/>
      <c r="J38" s="55"/>
      <c r="K38" s="56" t="n">
        <v>2023</v>
      </c>
    </row>
    <row r="39" customFormat="false" ht="12" hidden="false" customHeight="true" outlineLevel="0" collapsed="false">
      <c r="A39" s="54" t="s">
        <v>1058</v>
      </c>
      <c r="B39" s="54" t="s">
        <v>965</v>
      </c>
      <c r="C39" s="54" t="s">
        <v>189</v>
      </c>
      <c r="D39" s="54" t="n">
        <v>45440</v>
      </c>
      <c r="E39" s="54" t="n">
        <v>45446</v>
      </c>
      <c r="F39" s="55" t="n">
        <v>352</v>
      </c>
      <c r="G39" s="55" t="s">
        <v>10</v>
      </c>
      <c r="H39" s="56" t="n">
        <v>6.5</v>
      </c>
      <c r="I39" s="55"/>
      <c r="J39" s="55"/>
      <c r="K39" s="56" t="n">
        <v>1874</v>
      </c>
    </row>
    <row r="40" customFormat="false" ht="12" hidden="false" customHeight="true" outlineLevel="0" collapsed="false">
      <c r="A40" s="54" t="s">
        <v>1059</v>
      </c>
      <c r="B40" s="54" t="s">
        <v>954</v>
      </c>
      <c r="C40" s="54" t="s">
        <v>189</v>
      </c>
      <c r="D40" s="54" t="n">
        <v>45446</v>
      </c>
      <c r="E40" s="54" t="n">
        <v>45452</v>
      </c>
      <c r="F40" s="55" t="n">
        <v>352</v>
      </c>
      <c r="G40" s="55" t="s">
        <v>10</v>
      </c>
      <c r="H40" s="56" t="n">
        <v>8</v>
      </c>
      <c r="I40" s="55"/>
      <c r="J40" s="55"/>
      <c r="K40" s="56" t="n">
        <v>1902</v>
      </c>
    </row>
    <row r="41" customFormat="false" ht="12" hidden="false" customHeight="true" outlineLevel="0" collapsed="false">
      <c r="A41" s="54" t="s">
        <v>1060</v>
      </c>
      <c r="B41" s="54" t="s">
        <v>1061</v>
      </c>
      <c r="C41" s="54" t="s">
        <v>189</v>
      </c>
      <c r="D41" s="54" t="n">
        <v>45453</v>
      </c>
      <c r="E41" s="54" t="n">
        <v>45459</v>
      </c>
      <c r="F41" s="55" t="n">
        <v>240</v>
      </c>
      <c r="G41" s="55" t="s">
        <v>10</v>
      </c>
      <c r="H41" s="56" t="n">
        <v>7</v>
      </c>
      <c r="I41" s="55"/>
      <c r="J41" s="55"/>
      <c r="K41" s="56" t="n">
        <v>2005</v>
      </c>
    </row>
    <row r="42" customFormat="false" ht="12" hidden="false" customHeight="true" outlineLevel="0" collapsed="false">
      <c r="A42" s="54" t="s">
        <v>1062</v>
      </c>
      <c r="B42" s="54" t="s">
        <v>840</v>
      </c>
      <c r="C42" s="54" t="s">
        <v>189</v>
      </c>
      <c r="D42" s="54" t="n">
        <v>45460</v>
      </c>
      <c r="E42" s="54" t="n">
        <v>45471</v>
      </c>
      <c r="F42" s="55" t="n">
        <v>511</v>
      </c>
      <c r="G42" s="55" t="s">
        <v>10</v>
      </c>
      <c r="H42" s="56" t="n">
        <v>7</v>
      </c>
      <c r="I42" s="55"/>
      <c r="J42" s="55"/>
      <c r="K42" s="56" t="n">
        <v>2006</v>
      </c>
    </row>
    <row r="43" customFormat="false" ht="12" hidden="false" customHeight="true" outlineLevel="0" collapsed="false">
      <c r="A43" s="54" t="s">
        <v>1063</v>
      </c>
      <c r="B43" s="54" t="s">
        <v>814</v>
      </c>
      <c r="C43" s="54" t="s">
        <v>189</v>
      </c>
      <c r="D43" s="54" t="n">
        <v>45471</v>
      </c>
      <c r="E43" s="54" t="n">
        <v>45473</v>
      </c>
      <c r="F43" s="55" t="n">
        <v>158</v>
      </c>
      <c r="G43" s="55" t="s">
        <v>10</v>
      </c>
      <c r="H43" s="56" t="n">
        <v>7.2</v>
      </c>
      <c r="I43" s="55"/>
      <c r="J43" s="55"/>
      <c r="K43" s="56" t="n">
        <v>1948</v>
      </c>
    </row>
    <row r="44" customFormat="false" ht="12" hidden="false" customHeight="true" outlineLevel="0" collapsed="false">
      <c r="A44" s="54" t="s">
        <v>1064</v>
      </c>
      <c r="B44" s="54" t="s">
        <v>925</v>
      </c>
      <c r="C44" s="54" t="s">
        <v>189</v>
      </c>
      <c r="D44" s="54" t="n">
        <v>45473</v>
      </c>
      <c r="E44" s="54" t="n">
        <v>45476</v>
      </c>
      <c r="F44" s="55" t="n">
        <v>320</v>
      </c>
      <c r="G44" s="55" t="s">
        <v>10</v>
      </c>
      <c r="H44" s="56" t="n">
        <v>8</v>
      </c>
      <c r="I44" s="55"/>
      <c r="J44" s="55"/>
      <c r="K44" s="56" t="n">
        <v>2012</v>
      </c>
    </row>
    <row r="45" customFormat="false" ht="12" hidden="false" customHeight="true" outlineLevel="0" collapsed="false">
      <c r="A45" s="54" t="s">
        <v>1065</v>
      </c>
      <c r="B45" s="54" t="s">
        <v>905</v>
      </c>
      <c r="C45" s="54" t="s">
        <v>684</v>
      </c>
      <c r="D45" s="54" t="n">
        <v>45460</v>
      </c>
      <c r="E45" s="54" t="n">
        <v>45535</v>
      </c>
      <c r="F45" s="55" t="n">
        <v>732</v>
      </c>
      <c r="G45" s="55" t="s">
        <v>10</v>
      </c>
      <c r="H45" s="56"/>
      <c r="I45" s="55"/>
      <c r="J45" s="55"/>
      <c r="K45" s="56" t="n">
        <v>2013</v>
      </c>
    </row>
    <row r="46" customFormat="false" ht="12" hidden="false" customHeight="true" outlineLevel="0" collapsed="false">
      <c r="A46" s="54" t="s">
        <v>1066</v>
      </c>
      <c r="B46" s="54" t="s">
        <v>1020</v>
      </c>
      <c r="C46" s="54" t="s">
        <v>189</v>
      </c>
      <c r="D46" s="54" t="n">
        <v>45476</v>
      </c>
      <c r="E46" s="54" t="n">
        <v>45486</v>
      </c>
      <c r="F46" s="55" t="n">
        <v>837</v>
      </c>
      <c r="G46" s="55" t="s">
        <v>10</v>
      </c>
      <c r="H46" s="56" t="n">
        <v>7</v>
      </c>
      <c r="I46" s="55"/>
      <c r="J46" s="55"/>
      <c r="K46" s="56" t="n">
        <v>2011</v>
      </c>
    </row>
    <row r="47" customFormat="false" ht="12" hidden="false" customHeight="true" outlineLevel="0" collapsed="false">
      <c r="A47" s="54" t="s">
        <v>1067</v>
      </c>
      <c r="B47" s="54" t="s">
        <v>1068</v>
      </c>
      <c r="C47" s="54" t="s">
        <v>189</v>
      </c>
      <c r="D47" s="54" t="n">
        <v>45486</v>
      </c>
      <c r="E47" s="54" t="n">
        <v>45491</v>
      </c>
      <c r="F47" s="55" t="n">
        <v>275</v>
      </c>
      <c r="G47" s="55" t="s">
        <v>10</v>
      </c>
      <c r="H47" s="56" t="n">
        <v>5</v>
      </c>
      <c r="I47" s="55"/>
      <c r="J47" s="55"/>
      <c r="K47" s="56" t="n">
        <v>1859</v>
      </c>
    </row>
    <row r="48" customFormat="false" ht="12" hidden="false" customHeight="true" outlineLevel="0" collapsed="false">
      <c r="A48" s="54" t="s">
        <v>269</v>
      </c>
      <c r="B48" s="54" t="s">
        <v>261</v>
      </c>
      <c r="C48" s="54" t="s">
        <v>189</v>
      </c>
      <c r="D48" s="54" t="n">
        <v>45491</v>
      </c>
      <c r="E48" s="54" t="n">
        <v>45496</v>
      </c>
      <c r="F48" s="55" t="n">
        <v>336</v>
      </c>
      <c r="G48" s="55" t="s">
        <v>58</v>
      </c>
      <c r="H48" s="56" t="n">
        <v>7</v>
      </c>
      <c r="I48" s="55"/>
      <c r="J48" s="55"/>
      <c r="K48" s="56" t="n">
        <v>1967</v>
      </c>
    </row>
    <row r="49" customFormat="false" ht="12" hidden="false" customHeight="true" outlineLevel="0" collapsed="false">
      <c r="A49" s="54" t="s">
        <v>1069</v>
      </c>
      <c r="B49" s="54" t="s">
        <v>653</v>
      </c>
      <c r="C49" s="54" t="s">
        <v>189</v>
      </c>
      <c r="D49" s="54" t="n">
        <v>45496</v>
      </c>
      <c r="E49" s="54" t="n">
        <v>45509</v>
      </c>
      <c r="F49" s="55" t="n">
        <v>1214</v>
      </c>
      <c r="G49" s="55" t="s">
        <v>58</v>
      </c>
      <c r="H49" s="56" t="n">
        <v>8</v>
      </c>
      <c r="I49" s="55"/>
      <c r="J49" s="55"/>
      <c r="K49" s="56" t="n">
        <v>2011</v>
      </c>
    </row>
    <row r="50" customFormat="false" ht="12" hidden="false" customHeight="true" outlineLevel="0" collapsed="false">
      <c r="A50" s="54" t="s">
        <v>486</v>
      </c>
      <c r="B50" s="54" t="s">
        <v>487</v>
      </c>
      <c r="C50" s="54" t="s">
        <v>189</v>
      </c>
      <c r="D50" s="54" t="n">
        <v>45509</v>
      </c>
      <c r="E50" s="54" t="n">
        <v>45516</v>
      </c>
      <c r="F50" s="55" t="n">
        <v>144</v>
      </c>
      <c r="G50" s="55" t="s">
        <v>58</v>
      </c>
      <c r="H50" s="56" t="n">
        <v>7</v>
      </c>
      <c r="I50" s="55"/>
      <c r="J50" s="55"/>
      <c r="K50" s="56" t="n">
        <v>2001</v>
      </c>
    </row>
    <row r="51" customFormat="false" ht="12" hidden="false" customHeight="true" outlineLevel="0" collapsed="false">
      <c r="A51" s="54" t="s">
        <v>1070</v>
      </c>
      <c r="B51" s="54" t="s">
        <v>1071</v>
      </c>
      <c r="C51" s="54" t="s">
        <v>189</v>
      </c>
      <c r="D51" s="54" t="n">
        <v>45516</v>
      </c>
      <c r="E51" s="54" t="n">
        <v>45523</v>
      </c>
      <c r="F51" s="55" t="n">
        <v>480</v>
      </c>
      <c r="G51" s="55" t="s">
        <v>58</v>
      </c>
      <c r="H51" s="56" t="n">
        <v>8</v>
      </c>
      <c r="I51" s="55"/>
      <c r="J51" s="55"/>
      <c r="K51" s="56" t="n">
        <v>2008</v>
      </c>
    </row>
    <row r="52" customFormat="false" ht="12" hidden="false" customHeight="true" outlineLevel="0" collapsed="false">
      <c r="A52" s="54" t="s">
        <v>1072</v>
      </c>
      <c r="B52" s="54" t="s">
        <v>954</v>
      </c>
      <c r="C52" s="54" t="s">
        <v>189</v>
      </c>
      <c r="D52" s="54" t="n">
        <v>45523</v>
      </c>
      <c r="E52" s="54" t="n">
        <v>45528</v>
      </c>
      <c r="F52" s="55" t="n">
        <v>304</v>
      </c>
      <c r="G52" s="55" t="s">
        <v>10</v>
      </c>
      <c r="H52" s="56" t="n">
        <v>6.7</v>
      </c>
      <c r="I52" s="55"/>
      <c r="J52" s="55"/>
      <c r="K52" s="56" t="n">
        <v>1911</v>
      </c>
    </row>
    <row r="53" customFormat="false" ht="12" hidden="false" customHeight="true" outlineLevel="0" collapsed="false">
      <c r="A53" s="54" t="s">
        <v>1073</v>
      </c>
      <c r="B53" s="54" t="s">
        <v>1037</v>
      </c>
      <c r="C53" s="54" t="s">
        <v>189</v>
      </c>
      <c r="D53" s="54" t="n">
        <v>45528</v>
      </c>
      <c r="E53" s="54" t="n">
        <v>45533</v>
      </c>
      <c r="F53" s="55" t="n">
        <v>297</v>
      </c>
      <c r="G53" s="55" t="s">
        <v>10</v>
      </c>
      <c r="H53" s="56" t="n">
        <v>7.8</v>
      </c>
      <c r="I53" s="55"/>
      <c r="J53" s="55"/>
      <c r="K53" s="56" t="n">
        <v>1986</v>
      </c>
    </row>
    <row r="54" customFormat="false" ht="12" hidden="false" customHeight="true" outlineLevel="0" collapsed="false">
      <c r="A54" s="54" t="s">
        <v>1074</v>
      </c>
      <c r="B54" s="54" t="s">
        <v>1075</v>
      </c>
      <c r="C54" s="54" t="s">
        <v>189</v>
      </c>
      <c r="D54" s="54" t="n">
        <v>45533</v>
      </c>
      <c r="E54" s="54" t="n">
        <v>45539</v>
      </c>
      <c r="F54" s="55" t="n">
        <v>497</v>
      </c>
      <c r="G54" s="55" t="s">
        <v>1040</v>
      </c>
      <c r="H54" s="56" t="n">
        <v>5</v>
      </c>
      <c r="I54" s="55"/>
      <c r="J54" s="55"/>
      <c r="K54" s="56" t="n">
        <v>1985</v>
      </c>
    </row>
    <row r="55" customFormat="false" ht="12" hidden="false" customHeight="true" outlineLevel="0" collapsed="false">
      <c r="A55" s="54" t="s">
        <v>1076</v>
      </c>
      <c r="B55" s="54" t="s">
        <v>1077</v>
      </c>
      <c r="C55" s="54" t="s">
        <v>684</v>
      </c>
      <c r="D55" s="54" t="n">
        <v>45535</v>
      </c>
      <c r="E55" s="54" t="n">
        <v>45547</v>
      </c>
      <c r="F55" s="55" t="n">
        <v>394</v>
      </c>
      <c r="G55" s="55" t="s">
        <v>10</v>
      </c>
      <c r="H55" s="56" t="n">
        <v>8</v>
      </c>
      <c r="I55" s="55"/>
      <c r="J55" s="55"/>
      <c r="K55" s="56" t="n">
        <v>2008</v>
      </c>
    </row>
    <row r="56" customFormat="false" ht="12" hidden="false" customHeight="true" outlineLevel="0" collapsed="false">
      <c r="A56" s="54" t="s">
        <v>1078</v>
      </c>
      <c r="B56" s="54" t="s">
        <v>943</v>
      </c>
      <c r="C56" s="54" t="s">
        <v>189</v>
      </c>
      <c r="D56" s="54" t="n">
        <v>45539</v>
      </c>
      <c r="E56" s="54" t="n">
        <v>45555</v>
      </c>
      <c r="F56" s="55" t="n">
        <v>556</v>
      </c>
      <c r="G56" s="55" t="s">
        <v>10</v>
      </c>
      <c r="H56" s="56" t="n">
        <v>7.2</v>
      </c>
      <c r="I56" s="55"/>
      <c r="J56" s="55"/>
      <c r="K56" s="56" t="n">
        <v>1993</v>
      </c>
    </row>
    <row r="57" customFormat="false" ht="12" hidden="false" customHeight="true" outlineLevel="0" collapsed="false">
      <c r="A57" s="54" t="s">
        <v>1079</v>
      </c>
      <c r="B57" s="54" t="s">
        <v>1080</v>
      </c>
      <c r="C57" s="54" t="s">
        <v>684</v>
      </c>
      <c r="D57" s="54" t="n">
        <v>45547</v>
      </c>
      <c r="E57" s="54" t="n">
        <v>45587</v>
      </c>
      <c r="F57" s="55" t="n">
        <v>544</v>
      </c>
      <c r="G57" s="55" t="s">
        <v>10</v>
      </c>
      <c r="H57" s="56" t="n">
        <v>9</v>
      </c>
      <c r="I57" s="55"/>
      <c r="J57" s="55"/>
      <c r="K57" s="56" t="n">
        <v>2017</v>
      </c>
    </row>
    <row r="58" customFormat="false" ht="12" hidden="false" customHeight="true" outlineLevel="0" collapsed="false">
      <c r="A58" s="54" t="s">
        <v>1081</v>
      </c>
      <c r="B58" s="54" t="s">
        <v>659</v>
      </c>
      <c r="C58" s="54" t="s">
        <v>189</v>
      </c>
      <c r="D58" s="54" t="n">
        <v>45555</v>
      </c>
      <c r="E58" s="54" t="n">
        <v>45575</v>
      </c>
      <c r="F58" s="55" t="n">
        <v>607</v>
      </c>
      <c r="G58" s="55" t="s">
        <v>10</v>
      </c>
      <c r="H58" s="56" t="n">
        <v>7.5</v>
      </c>
      <c r="I58" s="55"/>
      <c r="J58" s="55"/>
      <c r="K58" s="56" t="n">
        <v>2002</v>
      </c>
    </row>
    <row r="59" customFormat="false" ht="12" hidden="false" customHeight="true" outlineLevel="0" collapsed="false">
      <c r="A59" s="54" t="s">
        <v>1082</v>
      </c>
      <c r="B59" s="54" t="s">
        <v>261</v>
      </c>
      <c r="C59" s="54" t="s">
        <v>189</v>
      </c>
      <c r="D59" s="54" t="n">
        <v>45564</v>
      </c>
      <c r="E59" s="54" t="n">
        <v>45575</v>
      </c>
      <c r="F59" s="55" t="n">
        <v>336</v>
      </c>
      <c r="G59" s="55" t="s">
        <v>58</v>
      </c>
      <c r="H59" s="56" t="n">
        <v>8</v>
      </c>
      <c r="I59" s="55"/>
      <c r="J59" s="55"/>
      <c r="K59" s="56" t="n">
        <v>1968</v>
      </c>
    </row>
    <row r="60" customFormat="false" ht="12" hidden="false" customHeight="true" outlineLevel="0" collapsed="false">
      <c r="A60" s="54" t="s">
        <v>1083</v>
      </c>
      <c r="B60" s="54" t="s">
        <v>943</v>
      </c>
      <c r="C60" s="54" t="s">
        <v>189</v>
      </c>
      <c r="D60" s="54" t="n">
        <v>45575</v>
      </c>
      <c r="E60" s="54" t="n">
        <v>45598</v>
      </c>
      <c r="F60" s="55" t="n">
        <v>602</v>
      </c>
      <c r="G60" s="55" t="s">
        <v>10</v>
      </c>
      <c r="H60" s="56" t="n">
        <v>6</v>
      </c>
      <c r="I60" s="55"/>
      <c r="J60" s="55"/>
      <c r="K60" s="56" t="n">
        <v>1977</v>
      </c>
    </row>
    <row r="61" customFormat="false" ht="14.65" hidden="false" customHeight="true" outlineLevel="0" collapsed="false">
      <c r="A61" s="54" t="s">
        <v>1084</v>
      </c>
      <c r="B61" s="54" t="s">
        <v>965</v>
      </c>
      <c r="C61" s="54" t="s">
        <v>189</v>
      </c>
      <c r="D61" s="54" t="n">
        <v>45575</v>
      </c>
      <c r="E61" s="54" t="n">
        <v>45631</v>
      </c>
      <c r="F61" s="55" t="n">
        <v>292</v>
      </c>
      <c r="G61" s="55" t="s">
        <v>10</v>
      </c>
      <c r="H61" s="56" t="n">
        <v>4.5</v>
      </c>
      <c r="I61" s="55"/>
      <c r="J61" s="55"/>
      <c r="K61" s="56" t="n">
        <v>1873</v>
      </c>
    </row>
    <row r="62" customFormat="false" ht="12" hidden="false" customHeight="true" outlineLevel="0" collapsed="false">
      <c r="A62" s="54" t="s">
        <v>1085</v>
      </c>
      <c r="B62" s="54" t="s">
        <v>1086</v>
      </c>
      <c r="C62" s="54" t="s">
        <v>684</v>
      </c>
      <c r="D62" s="54" t="n">
        <v>45562</v>
      </c>
      <c r="E62" s="54" t="n">
        <v>45587</v>
      </c>
      <c r="F62" s="55" t="n">
        <v>352</v>
      </c>
      <c r="G62" s="55" t="s">
        <v>172</v>
      </c>
      <c r="H62" s="56" t="n">
        <v>9</v>
      </c>
      <c r="I62" s="55"/>
      <c r="J62" s="55"/>
      <c r="K62" s="56" t="n">
        <v>2013</v>
      </c>
    </row>
    <row r="63" customFormat="false" ht="12" hidden="false" customHeight="true" outlineLevel="0" collapsed="false">
      <c r="A63" s="54" t="s">
        <v>1087</v>
      </c>
      <c r="B63" s="54" t="s">
        <v>1088</v>
      </c>
      <c r="C63" s="54" t="s">
        <v>684</v>
      </c>
      <c r="D63" s="54" t="n">
        <v>45588</v>
      </c>
      <c r="E63" s="54" t="n">
        <v>45592</v>
      </c>
      <c r="F63" s="55" t="n">
        <v>224</v>
      </c>
      <c r="G63" s="55" t="s">
        <v>24</v>
      </c>
      <c r="H63" s="56" t="n">
        <v>6</v>
      </c>
      <c r="I63" s="55"/>
      <c r="J63" s="55"/>
      <c r="K63" s="56" t="n">
        <v>2019</v>
      </c>
    </row>
    <row r="64" customFormat="false" ht="14.65" hidden="false" customHeight="true" outlineLevel="0" collapsed="false">
      <c r="A64" s="54" t="s">
        <v>1089</v>
      </c>
      <c r="B64" s="54" t="s">
        <v>1090</v>
      </c>
      <c r="C64" s="54" t="s">
        <v>684</v>
      </c>
      <c r="D64" s="54" t="n">
        <v>45592</v>
      </c>
      <c r="E64" s="54" t="n">
        <v>45641</v>
      </c>
      <c r="F64" s="55" t="n">
        <v>472</v>
      </c>
      <c r="G64" s="55" t="s">
        <v>24</v>
      </c>
      <c r="H64" s="56" t="n">
        <v>7</v>
      </c>
      <c r="I64" s="55"/>
      <c r="J64" s="55"/>
      <c r="K64" s="56" t="n">
        <v>2006</v>
      </c>
    </row>
    <row r="65" customFormat="false" ht="12" hidden="false" customHeight="true" outlineLevel="0" collapsed="false">
      <c r="A65" s="54" t="s">
        <v>1091</v>
      </c>
      <c r="B65" s="54" t="s">
        <v>1092</v>
      </c>
      <c r="C65" s="54" t="s">
        <v>189</v>
      </c>
      <c r="D65" s="54" t="n">
        <v>45598</v>
      </c>
      <c r="E65" s="54" t="n">
        <v>45602</v>
      </c>
      <c r="F65" s="55" t="n">
        <v>296</v>
      </c>
      <c r="G65" s="55" t="s">
        <v>10</v>
      </c>
      <c r="H65" s="56" t="n">
        <v>7.65</v>
      </c>
      <c r="I65" s="55"/>
      <c r="J65" s="55"/>
      <c r="K65" s="56" t="n">
        <v>2020</v>
      </c>
    </row>
    <row r="66" customFormat="false" ht="12" hidden="false" customHeight="true" outlineLevel="0" collapsed="false">
      <c r="A66" s="54" t="s">
        <v>1093</v>
      </c>
      <c r="B66" s="54" t="s">
        <v>1094</v>
      </c>
      <c r="C66" s="54" t="s">
        <v>189</v>
      </c>
      <c r="D66" s="54" t="n">
        <v>45602</v>
      </c>
      <c r="E66" s="54" t="n">
        <v>45607</v>
      </c>
      <c r="F66" s="55" t="n">
        <v>384</v>
      </c>
      <c r="G66" s="55" t="s">
        <v>10</v>
      </c>
      <c r="H66" s="56" t="n">
        <v>7</v>
      </c>
      <c r="I66" s="55"/>
      <c r="J66" s="55"/>
      <c r="K66" s="56" t="n">
        <v>1974</v>
      </c>
    </row>
    <row r="67" customFormat="false" ht="12" hidden="false" customHeight="true" outlineLevel="0" collapsed="false">
      <c r="A67" s="54" t="s">
        <v>1095</v>
      </c>
      <c r="B67" s="54" t="s">
        <v>1096</v>
      </c>
      <c r="C67" s="54" t="s">
        <v>189</v>
      </c>
      <c r="D67" s="54" t="n">
        <v>45607</v>
      </c>
      <c r="E67" s="54" t="n">
        <v>45614</v>
      </c>
      <c r="F67" s="55" t="n">
        <v>248</v>
      </c>
      <c r="G67" s="55" t="s">
        <v>10</v>
      </c>
      <c r="H67" s="56" t="n">
        <v>7</v>
      </c>
      <c r="I67" s="55"/>
      <c r="J67" s="55"/>
      <c r="K67" s="56" t="n">
        <v>1956</v>
      </c>
    </row>
    <row r="68" customFormat="false" ht="14.65" hidden="false" customHeight="true" outlineLevel="0" collapsed="false">
      <c r="A68" s="54" t="s">
        <v>1097</v>
      </c>
      <c r="B68" s="54" t="s">
        <v>1098</v>
      </c>
      <c r="C68" s="54" t="s">
        <v>189</v>
      </c>
      <c r="D68" s="54" t="n">
        <v>45614</v>
      </c>
      <c r="E68" s="54" t="n">
        <v>45620</v>
      </c>
      <c r="F68" s="55" t="n">
        <v>256</v>
      </c>
      <c r="G68" s="55" t="s">
        <v>10</v>
      </c>
      <c r="H68" s="56" t="n">
        <v>8</v>
      </c>
      <c r="I68" s="55"/>
      <c r="J68" s="55"/>
      <c r="K68" s="56" t="n">
        <v>1953</v>
      </c>
    </row>
    <row r="69" customFormat="false" ht="14.65" hidden="false" customHeight="true" outlineLevel="0" collapsed="false">
      <c r="A69" s="54" t="s">
        <v>1099</v>
      </c>
      <c r="B69" s="54" t="s">
        <v>925</v>
      </c>
      <c r="C69" s="54" t="s">
        <v>189</v>
      </c>
      <c r="D69" s="54" t="n">
        <v>45620</v>
      </c>
      <c r="E69" s="54" t="n">
        <v>45626</v>
      </c>
      <c r="F69" s="55" t="n">
        <v>448</v>
      </c>
      <c r="G69" s="55" t="s">
        <v>10</v>
      </c>
      <c r="H69" s="56" t="n">
        <v>7.5</v>
      </c>
      <c r="I69" s="55"/>
      <c r="J69" s="55"/>
      <c r="K69" s="56" t="n">
        <v>2013</v>
      </c>
    </row>
    <row r="70" customFormat="false" ht="14.65" hidden="false" customHeight="true" outlineLevel="0" collapsed="false">
      <c r="A70" s="54" t="s">
        <v>1100</v>
      </c>
      <c r="B70" s="54" t="s">
        <v>925</v>
      </c>
      <c r="C70" s="54" t="s">
        <v>189</v>
      </c>
      <c r="D70" s="54" t="n">
        <v>45626</v>
      </c>
      <c r="E70" s="54" t="n">
        <v>45633</v>
      </c>
      <c r="F70" s="55" t="n">
        <v>360</v>
      </c>
      <c r="G70" s="55" t="s">
        <v>10</v>
      </c>
      <c r="H70" s="56" t="n">
        <v>6</v>
      </c>
      <c r="I70" s="55"/>
      <c r="J70" s="55"/>
      <c r="K70" s="56" t="n">
        <v>2015</v>
      </c>
    </row>
    <row r="71" customFormat="false" ht="14.65" hidden="false" customHeight="true" outlineLevel="0" collapsed="false">
      <c r="A71" s="54" t="s">
        <v>1101</v>
      </c>
      <c r="B71" s="54" t="s">
        <v>1102</v>
      </c>
      <c r="C71" s="54" t="s">
        <v>189</v>
      </c>
      <c r="D71" s="54" t="n">
        <v>45633</v>
      </c>
      <c r="E71" s="54" t="n">
        <v>45642</v>
      </c>
      <c r="F71" s="55" t="n">
        <v>480</v>
      </c>
      <c r="G71" s="55" t="s">
        <v>10</v>
      </c>
      <c r="H71" s="56" t="n">
        <v>6.8</v>
      </c>
      <c r="I71" s="55"/>
      <c r="J71" s="55"/>
      <c r="K71" s="56" t="n">
        <v>2015</v>
      </c>
    </row>
    <row r="72" customFormat="false" ht="12" hidden="false" customHeight="true" outlineLevel="0" collapsed="false">
      <c r="F72" s="32" t="n">
        <f aca="false">SUMIFS(F2:F71,E2:E71,"&gt;0")</f>
        <v>23457</v>
      </c>
      <c r="G72" s="33"/>
      <c r="H72" s="34" t="n">
        <f aca="false">GEOMEAN(H2:H71)</f>
        <v>6.99748292457646</v>
      </c>
      <c r="I72" s="37" t="e">
        <f aca="false">NA()</f>
        <v>#N/A</v>
      </c>
      <c r="J72" s="37" t="e">
        <f aca="false">NA()</f>
        <v>#N/A</v>
      </c>
      <c r="K72" s="34"/>
    </row>
    <row r="73" customFormat="false" ht="12" hidden="false" customHeight="true" outlineLevel="0" collapsed="false">
      <c r="A73" s="24" t="s">
        <v>275</v>
      </c>
      <c r="I73" s="37" t="e">
        <f aca="false">NA()</f>
        <v>#N/A</v>
      </c>
      <c r="J73" s="37" t="e">
        <f aca="false">NA()</f>
        <v>#N/A</v>
      </c>
    </row>
    <row r="74" customFormat="false" ht="36" hidden="false" customHeight="true" outlineLevel="0" collapsed="false">
      <c r="A74" s="6" t="s">
        <v>277</v>
      </c>
      <c r="B74" s="6" t="s">
        <v>278</v>
      </c>
      <c r="C74" s="6" t="s">
        <v>279</v>
      </c>
      <c r="D74" s="6" t="s">
        <v>280</v>
      </c>
      <c r="I74" s="37" t="e">
        <f aca="false">NA()</f>
        <v>#N/A</v>
      </c>
      <c r="J74" s="37" t="e">
        <f aca="false">NA()</f>
        <v>#N/A</v>
      </c>
    </row>
    <row r="75" customFormat="false" ht="12" hidden="false" customHeight="true" outlineLevel="0" collapsed="false">
      <c r="A75" s="6" t="n">
        <f aca="false">COUNTIF(E2:E71,"&gt;0")</f>
        <v>58</v>
      </c>
      <c r="B75" s="6" t="n">
        <f aca="false">ROUND(F72/A75,0)</f>
        <v>404</v>
      </c>
      <c r="C75" s="6" t="e">
        <f aca="false">INDEX(J3:J96,MATCH(MAX(I3:I96),I3:I96,0),1)</f>
        <v>#N/A</v>
      </c>
      <c r="D75" s="6"/>
      <c r="I75" s="37" t="e">
        <f aca="false">NA()</f>
        <v>#N/A</v>
      </c>
      <c r="J75" s="37" t="e">
        <f aca="false">NA()</f>
        <v>#N/A</v>
      </c>
    </row>
    <row r="76" customFormat="false" ht="12" hidden="false" customHeight="true" outlineLevel="0" collapsed="false">
      <c r="I76" s="37" t="e">
        <f aca="false">NA()</f>
        <v>#N/A</v>
      </c>
      <c r="J76" s="37" t="e">
        <f aca="false">NA()</f>
        <v>#N/A</v>
      </c>
    </row>
    <row r="77" customFormat="false" ht="12" hidden="false" customHeight="true" outlineLevel="0" collapsed="false">
      <c r="I77" s="37" t="e">
        <f aca="false">NA()</f>
        <v>#N/A</v>
      </c>
      <c r="J77" s="37" t="e">
        <f aca="false">NA()</f>
        <v>#N/A</v>
      </c>
    </row>
    <row r="78" customFormat="false" ht="12" hidden="false" customHeight="true" outlineLevel="0" collapsed="false">
      <c r="I78" s="37" t="e">
        <f aca="false">NA()</f>
        <v>#N/A</v>
      </c>
      <c r="J78" s="37" t="e">
        <f aca="false">NA()</f>
        <v>#N/A</v>
      </c>
    </row>
    <row r="79" customFormat="false" ht="12" hidden="false" customHeight="true" outlineLevel="0" collapsed="false">
      <c r="I79" s="37" t="e">
        <f aca="false">NA()</f>
        <v>#N/A</v>
      </c>
      <c r="J79" s="37" t="e">
        <f aca="false">NA()</f>
        <v>#N/A</v>
      </c>
    </row>
    <row r="80" customFormat="false" ht="12" hidden="false" customHeight="true" outlineLevel="0" collapsed="false">
      <c r="I80" s="37" t="e">
        <f aca="false">NA()</f>
        <v>#N/A</v>
      </c>
      <c r="J80" s="37" t="e">
        <f aca="false">NA()</f>
        <v>#N/A</v>
      </c>
    </row>
    <row r="81" customFormat="false" ht="12" hidden="false" customHeight="true" outlineLevel="0" collapsed="false">
      <c r="I81" s="37" t="e">
        <f aca="false">NA()</f>
        <v>#N/A</v>
      </c>
      <c r="J81" s="37" t="e">
        <f aca="false">NA()</f>
        <v>#N/A</v>
      </c>
    </row>
    <row r="82" customFormat="false" ht="12" hidden="false" customHeight="true" outlineLevel="0" collapsed="false">
      <c r="I82" s="37" t="e">
        <f aca="false">NA()</f>
        <v>#N/A</v>
      </c>
      <c r="J82" s="37" t="e">
        <f aca="false">NA()</f>
        <v>#N/A</v>
      </c>
    </row>
    <row r="83" customFormat="false" ht="12" hidden="false" customHeight="true" outlineLevel="0" collapsed="false">
      <c r="I83" s="37" t="e">
        <f aca="false">NA()</f>
        <v>#N/A</v>
      </c>
      <c r="J83" s="37" t="e">
        <f aca="false">NA()</f>
        <v>#N/A</v>
      </c>
    </row>
    <row r="84" customFormat="false" ht="12" hidden="false" customHeight="true" outlineLevel="0" collapsed="false">
      <c r="I84" s="37" t="e">
        <f aca="false">NA()</f>
        <v>#N/A</v>
      </c>
      <c r="J84" s="37" t="e">
        <f aca="false">NA()</f>
        <v>#N/A</v>
      </c>
    </row>
    <row r="85" customFormat="false" ht="12" hidden="false" customHeight="true" outlineLevel="0" collapsed="false">
      <c r="I85" s="37" t="e">
        <f aca="false">NA()</f>
        <v>#N/A</v>
      </c>
      <c r="J85" s="37" t="e">
        <f aca="false">NA()</f>
        <v>#N/A</v>
      </c>
    </row>
    <row r="86" customFormat="false" ht="12" hidden="false" customHeight="true" outlineLevel="0" collapsed="false">
      <c r="I86" s="37" t="e">
        <f aca="false">NA()</f>
        <v>#N/A</v>
      </c>
      <c r="J86" s="37" t="e">
        <f aca="false">NA()</f>
        <v>#N/A</v>
      </c>
    </row>
    <row r="87" customFormat="false" ht="12" hidden="false" customHeight="true" outlineLevel="0" collapsed="false">
      <c r="I87" s="37" t="e">
        <f aca="false">NA()</f>
        <v>#N/A</v>
      </c>
      <c r="J87" s="37" t="e">
        <f aca="false">NA()</f>
        <v>#N/A</v>
      </c>
    </row>
    <row r="88" customFormat="false" ht="12" hidden="false" customHeight="true" outlineLevel="0" collapsed="false">
      <c r="I88" s="37" t="e">
        <f aca="false">NA()</f>
        <v>#N/A</v>
      </c>
      <c r="J88" s="37" t="e">
        <f aca="false">NA()</f>
        <v>#N/A</v>
      </c>
    </row>
    <row r="89" customFormat="false" ht="12" hidden="false" customHeight="true" outlineLevel="0" collapsed="false">
      <c r="I89" s="37" t="e">
        <f aca="false">NA()</f>
        <v>#N/A</v>
      </c>
      <c r="J89" s="37" t="e">
        <f aca="false">NA()</f>
        <v>#N/A</v>
      </c>
    </row>
    <row r="90" customFormat="false" ht="12" hidden="false" customHeight="true" outlineLevel="0" collapsed="false">
      <c r="I90" s="37" t="e">
        <f aca="false">NA()</f>
        <v>#N/A</v>
      </c>
      <c r="J90" s="37" t="e">
        <f aca="false">NA()</f>
        <v>#N/A</v>
      </c>
    </row>
    <row r="91" customFormat="false" ht="12" hidden="false" customHeight="true" outlineLevel="0" collapsed="false">
      <c r="I91" s="37" t="e">
        <f aca="false">NA()</f>
        <v>#N/A</v>
      </c>
      <c r="J91" s="37" t="e">
        <f aca="false">NA()</f>
        <v>#N/A</v>
      </c>
    </row>
    <row r="92" customFormat="false" ht="12" hidden="false" customHeight="true" outlineLevel="0" collapsed="false">
      <c r="I92" s="37" t="e">
        <f aca="false">NA()</f>
        <v>#N/A</v>
      </c>
      <c r="J92" s="37" t="e">
        <f aca="false">NA()</f>
        <v>#N/A</v>
      </c>
    </row>
    <row r="93" customFormat="false" ht="12" hidden="false" customHeight="true" outlineLevel="0" collapsed="false">
      <c r="I93" s="37" t="e">
        <f aca="false">NA()</f>
        <v>#N/A</v>
      </c>
      <c r="J93" s="37" t="e">
        <f aca="false">NA()</f>
        <v>#N/A</v>
      </c>
    </row>
    <row r="94" customFormat="false" ht="12" hidden="false" customHeight="true" outlineLevel="0" collapsed="false">
      <c r="I94" s="37" t="e">
        <f aca="false">NA()</f>
        <v>#N/A</v>
      </c>
      <c r="J94" s="37" t="e">
        <f aca="false">NA()</f>
        <v>#N/A</v>
      </c>
    </row>
    <row r="95" customFormat="false" ht="12" hidden="false" customHeight="true" outlineLevel="0" collapsed="false">
      <c r="I95" s="37" t="e">
        <f aca="false">NA()</f>
        <v>#N/A</v>
      </c>
      <c r="J95" s="37" t="e">
        <f aca="false">NA()</f>
        <v>#N/A</v>
      </c>
    </row>
    <row r="96" customFormat="false" ht="12" hidden="false" customHeight="true" outlineLevel="0" collapsed="false">
      <c r="I96" s="37" t="e">
        <f aca="false">NA()</f>
        <v>#N/A</v>
      </c>
      <c r="J96" s="37" t="e">
        <f aca="false">NA()</f>
        <v>#N/A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5523"/>
  <sheetViews>
    <sheetView showFormulas="false" showGridLines="true" showRowColHeaders="true" showZeros="true" rightToLeft="false" tabSelected="false" showOutlineSymbols="true" defaultGridColor="true" view="normal" topLeftCell="A25" colorId="64" zoomScale="110" zoomScaleNormal="110" zoomScalePageLayoutView="100" workbookViewId="0">
      <selection pane="topLeft" activeCell="A57" activeCellId="0" sqref="A57"/>
    </sheetView>
  </sheetViews>
  <sheetFormatPr defaultColWidth="10.5" defaultRowHeight="12" zeroHeight="false" outlineLevelRow="0" outlineLevelCol="0"/>
  <cols>
    <col collapsed="false" customWidth="true" hidden="false" outlineLevel="0" max="1" min="1" style="0" width="47.49"/>
    <col collapsed="false" customWidth="true" hidden="false" outlineLevel="0" max="2" min="2" style="0" width="27.49"/>
    <col collapsed="false" customWidth="true" hidden="false" outlineLevel="0" max="3" min="3" style="0" width="6.5"/>
    <col collapsed="false" customWidth="true" hidden="false" outlineLevel="0" max="4" min="4" style="0" width="11.5"/>
    <col collapsed="false" customWidth="true" hidden="false" outlineLevel="0" max="6" min="6" style="0" width="11.5"/>
    <col collapsed="false" customWidth="true" hidden="false" outlineLevel="0" max="8" min="8" style="0" width="14.49"/>
    <col collapsed="false" customWidth="false" hidden="true" outlineLevel="0" max="10" min="9" style="0" width="10.5"/>
    <col collapsed="false" customWidth="true" hidden="false" outlineLevel="0" max="11" min="11" style="0" width="22.49"/>
  </cols>
  <sheetData>
    <row r="1" s="6" customFormat="true" ht="12.8" hidden="false" customHeight="true" outlineLevel="0" collapsed="false">
      <c r="A1" s="24" t="s">
        <v>0</v>
      </c>
      <c r="B1" s="25" t="s">
        <v>1</v>
      </c>
      <c r="C1" s="25" t="s">
        <v>2</v>
      </c>
      <c r="D1" s="26" t="s">
        <v>3</v>
      </c>
      <c r="E1" s="27" t="s">
        <v>4</v>
      </c>
      <c r="F1" s="26" t="s">
        <v>5</v>
      </c>
      <c r="G1" s="27" t="s">
        <v>6</v>
      </c>
      <c r="H1" s="28" t="s">
        <v>7</v>
      </c>
      <c r="I1" s="35" t="s">
        <v>281</v>
      </c>
      <c r="J1" s="36" t="s">
        <v>1</v>
      </c>
      <c r="K1" s="28" t="s">
        <v>513</v>
      </c>
    </row>
    <row r="2" customFormat="false" ht="14.65" hidden="false" customHeight="true" outlineLevel="0" collapsed="false">
      <c r="A2" s="54" t="s">
        <v>1103</v>
      </c>
      <c r="B2" s="54" t="s">
        <v>703</v>
      </c>
      <c r="C2" s="54" t="s">
        <v>684</v>
      </c>
      <c r="D2" s="54" t="n">
        <v>45631</v>
      </c>
      <c r="E2" s="54" t="n">
        <v>45698</v>
      </c>
      <c r="F2" s="55" t="n">
        <v>392</v>
      </c>
      <c r="G2" s="55" t="s">
        <v>249</v>
      </c>
      <c r="H2" s="56" t="n">
        <v>8</v>
      </c>
      <c r="I2" s="55"/>
      <c r="J2" s="55"/>
      <c r="K2" s="56" t="n">
        <v>2024</v>
      </c>
    </row>
    <row r="3" customFormat="false" ht="14.65" hidden="false" customHeight="true" outlineLevel="0" collapsed="false">
      <c r="A3" s="54" t="s">
        <v>1104</v>
      </c>
      <c r="B3" s="54" t="s">
        <v>1020</v>
      </c>
      <c r="C3" s="54" t="s">
        <v>189</v>
      </c>
      <c r="D3" s="54" t="n">
        <v>45642</v>
      </c>
      <c r="E3" s="54" t="n">
        <v>45659</v>
      </c>
      <c r="F3" s="55" t="n">
        <v>544</v>
      </c>
      <c r="G3" s="55" t="s">
        <v>10</v>
      </c>
      <c r="H3" s="56" t="n">
        <v>7</v>
      </c>
      <c r="I3" s="55"/>
      <c r="J3" s="55"/>
      <c r="K3" s="56" t="n">
        <v>2012</v>
      </c>
    </row>
    <row r="4" customFormat="false" ht="14.65" hidden="false" customHeight="true" outlineLevel="0" collapsed="false">
      <c r="A4" s="54" t="s">
        <v>1105</v>
      </c>
      <c r="B4" s="54" t="s">
        <v>584</v>
      </c>
      <c r="C4" s="54" t="s">
        <v>189</v>
      </c>
      <c r="D4" s="54" t="n">
        <v>45659</v>
      </c>
      <c r="E4" s="54" t="n">
        <v>45677</v>
      </c>
      <c r="F4" s="55" t="n">
        <v>928</v>
      </c>
      <c r="G4" s="55" t="s">
        <v>58</v>
      </c>
      <c r="H4" s="56" t="n">
        <v>7</v>
      </c>
      <c r="I4" s="55"/>
      <c r="J4" s="55"/>
      <c r="K4" s="56" t="n">
        <v>1986</v>
      </c>
    </row>
    <row r="5" customFormat="false" ht="14.65" hidden="false" customHeight="true" outlineLevel="0" collapsed="false">
      <c r="A5" s="54" t="s">
        <v>1106</v>
      </c>
      <c r="B5" s="54" t="s">
        <v>1107</v>
      </c>
      <c r="C5" s="54" t="s">
        <v>684</v>
      </c>
      <c r="D5" s="54" t="n">
        <v>45664</v>
      </c>
      <c r="E5" s="54" t="n">
        <v>45673</v>
      </c>
      <c r="F5" s="55" t="n">
        <v>162</v>
      </c>
      <c r="G5" s="55" t="s">
        <v>58</v>
      </c>
      <c r="H5" s="56" t="n">
        <v>8</v>
      </c>
      <c r="I5" s="55"/>
      <c r="J5" s="55"/>
      <c r="K5" s="56" t="n">
        <v>2020</v>
      </c>
    </row>
    <row r="6" customFormat="false" ht="14.65" hidden="false" customHeight="true" outlineLevel="0" collapsed="false">
      <c r="A6" s="54" t="s">
        <v>1108</v>
      </c>
      <c r="B6" s="54" t="s">
        <v>1109</v>
      </c>
      <c r="C6" s="54" t="s">
        <v>684</v>
      </c>
      <c r="D6" s="54" t="n">
        <v>45673</v>
      </c>
      <c r="E6" s="54" t="n">
        <v>45693</v>
      </c>
      <c r="F6" s="55" t="n">
        <v>480</v>
      </c>
      <c r="G6" s="55" t="s">
        <v>58</v>
      </c>
      <c r="H6" s="56" t="n">
        <v>7</v>
      </c>
      <c r="I6" s="55"/>
      <c r="J6" s="55"/>
      <c r="K6" s="56" t="n">
        <v>2024</v>
      </c>
    </row>
    <row r="7" customFormat="false" ht="14.65" hidden="false" customHeight="true" outlineLevel="0" collapsed="false">
      <c r="A7" s="54" t="s">
        <v>1110</v>
      </c>
      <c r="B7" s="54" t="s">
        <v>934</v>
      </c>
      <c r="C7" s="54" t="s">
        <v>189</v>
      </c>
      <c r="D7" s="54" t="n">
        <v>45677</v>
      </c>
      <c r="E7" s="54" t="n">
        <v>45694</v>
      </c>
      <c r="F7" s="55" t="n">
        <v>384</v>
      </c>
      <c r="G7" s="55" t="s">
        <v>10</v>
      </c>
      <c r="H7" s="56" t="n">
        <v>6.5</v>
      </c>
      <c r="I7" s="55"/>
      <c r="J7" s="55"/>
      <c r="K7" s="56" t="n">
        <v>1999</v>
      </c>
    </row>
    <row r="8" customFormat="false" ht="14.65" hidden="false" customHeight="true" outlineLevel="0" collapsed="false">
      <c r="A8" s="54" t="s">
        <v>1111</v>
      </c>
      <c r="B8" s="54" t="s">
        <v>1112</v>
      </c>
      <c r="C8" s="54" t="s">
        <v>684</v>
      </c>
      <c r="D8" s="54" t="n">
        <v>45693</v>
      </c>
      <c r="E8" s="54" t="n">
        <v>45706</v>
      </c>
      <c r="F8" s="55" t="n">
        <v>544</v>
      </c>
      <c r="G8" s="55" t="s">
        <v>24</v>
      </c>
      <c r="H8" s="56" t="n">
        <v>8</v>
      </c>
      <c r="I8" s="55"/>
      <c r="J8" s="55"/>
      <c r="K8" s="56" t="n">
        <v>2024</v>
      </c>
    </row>
    <row r="9" customFormat="false" ht="14.65" hidden="false" customHeight="true" outlineLevel="0" collapsed="false">
      <c r="A9" s="54" t="s">
        <v>1113</v>
      </c>
      <c r="B9" s="54" t="s">
        <v>1114</v>
      </c>
      <c r="C9" s="54" t="s">
        <v>189</v>
      </c>
      <c r="D9" s="54" t="n">
        <v>45694</v>
      </c>
      <c r="E9" s="54" t="n">
        <v>45708</v>
      </c>
      <c r="F9" s="55" t="n">
        <v>368</v>
      </c>
      <c r="G9" s="55" t="s">
        <v>10</v>
      </c>
      <c r="H9" s="56" t="n">
        <v>8</v>
      </c>
      <c r="I9" s="55"/>
      <c r="J9" s="55"/>
      <c r="K9" s="56" t="n">
        <v>1977</v>
      </c>
    </row>
    <row r="10" customFormat="false" ht="14.65" hidden="false" customHeight="true" outlineLevel="0" collapsed="false">
      <c r="A10" s="54" t="s">
        <v>1115</v>
      </c>
      <c r="B10" s="54" t="s">
        <v>651</v>
      </c>
      <c r="C10" s="54" t="s">
        <v>684</v>
      </c>
      <c r="D10" s="54" t="n">
        <v>45707</v>
      </c>
      <c r="E10" s="54" t="n">
        <v>45731</v>
      </c>
      <c r="F10" s="55" t="n">
        <v>608</v>
      </c>
      <c r="G10" s="55" t="s">
        <v>24</v>
      </c>
      <c r="H10" s="56" t="n">
        <v>8</v>
      </c>
      <c r="I10" s="55"/>
      <c r="J10" s="55"/>
      <c r="K10" s="56" t="n">
        <v>2024</v>
      </c>
    </row>
    <row r="11" customFormat="false" ht="14.65" hidden="false" customHeight="true" outlineLevel="0" collapsed="false">
      <c r="A11" s="54" t="s">
        <v>1116</v>
      </c>
      <c r="B11" s="54" t="s">
        <v>934</v>
      </c>
      <c r="C11" s="54" t="s">
        <v>189</v>
      </c>
      <c r="D11" s="54" t="n">
        <v>45708</v>
      </c>
      <c r="E11" s="54" t="n">
        <v>45722</v>
      </c>
      <c r="F11" s="55" t="n">
        <v>457</v>
      </c>
      <c r="G11" s="55" t="s">
        <v>10</v>
      </c>
      <c r="H11" s="56" t="n">
        <v>7</v>
      </c>
      <c r="I11" s="55"/>
      <c r="J11" s="55"/>
      <c r="K11" s="56" t="n">
        <v>1984</v>
      </c>
    </row>
    <row r="12" customFormat="false" ht="14.65" hidden="false" customHeight="true" outlineLevel="0" collapsed="false">
      <c r="A12" s="54" t="s">
        <v>1117</v>
      </c>
      <c r="B12" s="54" t="s">
        <v>934</v>
      </c>
      <c r="C12" s="54" t="s">
        <v>189</v>
      </c>
      <c r="D12" s="54" t="n">
        <v>45722</v>
      </c>
      <c r="E12" s="54" t="n">
        <v>45737</v>
      </c>
      <c r="F12" s="55" t="n">
        <v>471</v>
      </c>
      <c r="G12" s="55" t="s">
        <v>10</v>
      </c>
      <c r="H12" s="56" t="n">
        <v>6.5</v>
      </c>
      <c r="I12" s="55"/>
      <c r="J12" s="55"/>
      <c r="K12" s="56" t="n">
        <v>1987</v>
      </c>
    </row>
    <row r="13" customFormat="false" ht="14.65" hidden="false" customHeight="true" outlineLevel="0" collapsed="false">
      <c r="A13" s="54" t="s">
        <v>1118</v>
      </c>
      <c r="B13" s="54" t="s">
        <v>1119</v>
      </c>
      <c r="C13" s="54" t="s">
        <v>684</v>
      </c>
      <c r="D13" s="54" t="n">
        <v>45726</v>
      </c>
      <c r="E13" s="54" t="n">
        <v>45998</v>
      </c>
      <c r="F13" s="55" t="n">
        <v>480</v>
      </c>
      <c r="G13" s="55" t="s">
        <v>1120</v>
      </c>
      <c r="H13" s="56" t="n">
        <v>5.5</v>
      </c>
      <c r="I13" s="55"/>
      <c r="J13" s="55"/>
      <c r="K13" s="56" t="n">
        <v>8</v>
      </c>
    </row>
    <row r="14" customFormat="false" ht="14.65" hidden="false" customHeight="true" outlineLevel="0" collapsed="false">
      <c r="A14" s="54" t="s">
        <v>1121</v>
      </c>
      <c r="B14" s="54" t="s">
        <v>737</v>
      </c>
      <c r="C14" s="54" t="s">
        <v>684</v>
      </c>
      <c r="D14" s="54" t="n">
        <v>45731</v>
      </c>
      <c r="E14" s="54" t="n">
        <v>45828</v>
      </c>
      <c r="F14" s="55" t="n">
        <v>465</v>
      </c>
      <c r="G14" s="55" t="s">
        <v>10</v>
      </c>
      <c r="H14" s="56" t="n">
        <v>8</v>
      </c>
      <c r="I14" s="55"/>
      <c r="J14" s="55"/>
      <c r="K14" s="56" t="n">
        <v>2021</v>
      </c>
    </row>
    <row r="15" customFormat="false" ht="14.65" hidden="false" customHeight="true" outlineLevel="0" collapsed="false">
      <c r="A15" s="54" t="s">
        <v>1122</v>
      </c>
      <c r="B15" s="54" t="s">
        <v>934</v>
      </c>
      <c r="C15" s="54" t="s">
        <v>189</v>
      </c>
      <c r="D15" s="54" t="n">
        <v>45737</v>
      </c>
      <c r="E15" s="54" t="n">
        <v>45752</v>
      </c>
      <c r="F15" s="55" t="n">
        <v>573</v>
      </c>
      <c r="G15" s="55" t="s">
        <v>10</v>
      </c>
      <c r="H15" s="56" t="n">
        <v>6</v>
      </c>
      <c r="I15" s="55"/>
      <c r="J15" s="55"/>
      <c r="K15" s="56" t="n">
        <v>1989</v>
      </c>
    </row>
    <row r="16" customFormat="false" ht="14.65" hidden="false" customHeight="true" outlineLevel="0" collapsed="false">
      <c r="A16" s="54" t="s">
        <v>1123</v>
      </c>
      <c r="B16" s="54" t="s">
        <v>888</v>
      </c>
      <c r="C16" s="54" t="s">
        <v>189</v>
      </c>
      <c r="D16" s="54" t="n">
        <v>45752</v>
      </c>
      <c r="E16" s="54" t="n">
        <v>45758</v>
      </c>
      <c r="F16" s="55" t="n">
        <v>172</v>
      </c>
      <c r="G16" s="55" t="s">
        <v>10</v>
      </c>
      <c r="H16" s="56" t="n">
        <v>5</v>
      </c>
      <c r="I16" s="55"/>
      <c r="J16" s="55"/>
      <c r="K16" s="56" t="n">
        <v>2004</v>
      </c>
    </row>
    <row r="17" customFormat="false" ht="14.65" hidden="false" customHeight="true" outlineLevel="0" collapsed="false">
      <c r="A17" s="54" t="s">
        <v>1124</v>
      </c>
      <c r="B17" s="54" t="s">
        <v>934</v>
      </c>
      <c r="C17" s="54" t="s">
        <v>189</v>
      </c>
      <c r="D17" s="54" t="n">
        <v>45758</v>
      </c>
      <c r="E17" s="54" t="n">
        <v>45772</v>
      </c>
      <c r="F17" s="55" t="n">
        <v>458</v>
      </c>
      <c r="G17" s="55" t="s">
        <v>10</v>
      </c>
      <c r="H17" s="56" t="n">
        <v>5.1</v>
      </c>
      <c r="I17" s="55"/>
      <c r="J17" s="55"/>
      <c r="K17" s="56" t="n">
        <v>1996</v>
      </c>
    </row>
    <row r="18" customFormat="false" ht="14.65" hidden="false" customHeight="true" outlineLevel="0" collapsed="false">
      <c r="A18" s="54" t="s">
        <v>1125</v>
      </c>
      <c r="B18" s="54" t="s">
        <v>1126</v>
      </c>
      <c r="C18" s="54" t="s">
        <v>189</v>
      </c>
      <c r="D18" s="54" t="n">
        <v>45764</v>
      </c>
      <c r="E18" s="54" t="n">
        <v>45783</v>
      </c>
      <c r="F18" s="55" t="n">
        <v>416</v>
      </c>
      <c r="G18" s="55" t="s">
        <v>10</v>
      </c>
      <c r="H18" s="56" t="n">
        <v>6.5</v>
      </c>
      <c r="I18" s="55"/>
      <c r="J18" s="55"/>
      <c r="K18" s="56" t="n">
        <v>1985</v>
      </c>
    </row>
    <row r="19" customFormat="false" ht="14.65" hidden="false" customHeight="true" outlineLevel="0" collapsed="false">
      <c r="A19" s="54" t="s">
        <v>1127</v>
      </c>
      <c r="B19" s="54" t="s">
        <v>635</v>
      </c>
      <c r="C19" s="54" t="s">
        <v>189</v>
      </c>
      <c r="D19" s="54" t="n">
        <v>45775</v>
      </c>
      <c r="E19" s="54" t="n">
        <v>45792</v>
      </c>
      <c r="F19" s="55" t="n">
        <v>664</v>
      </c>
      <c r="G19" s="55" t="s">
        <v>58</v>
      </c>
      <c r="H19" s="56" t="n">
        <v>8</v>
      </c>
      <c r="I19" s="55"/>
      <c r="J19" s="55"/>
      <c r="K19" s="56" t="n">
        <v>2015</v>
      </c>
    </row>
    <row r="20" customFormat="false" ht="14.65" hidden="false" customHeight="true" outlineLevel="0" collapsed="false">
      <c r="A20" s="54" t="s">
        <v>1128</v>
      </c>
      <c r="B20" s="54" t="s">
        <v>1129</v>
      </c>
      <c r="C20" s="54" t="s">
        <v>189</v>
      </c>
      <c r="D20" s="54" t="n">
        <v>45792</v>
      </c>
      <c r="E20" s="54" t="n">
        <v>45808</v>
      </c>
      <c r="F20" s="55" t="n">
        <v>262</v>
      </c>
      <c r="G20" s="55" t="s">
        <v>10</v>
      </c>
      <c r="H20" s="56" t="n">
        <v>8</v>
      </c>
      <c r="I20" s="55"/>
      <c r="J20" s="55"/>
      <c r="K20" s="56" t="n">
        <v>1955</v>
      </c>
    </row>
    <row r="21" customFormat="false" ht="14.65" hidden="false" customHeight="true" outlineLevel="0" collapsed="false">
      <c r="A21" s="54" t="s">
        <v>1130</v>
      </c>
      <c r="B21" s="54" t="s">
        <v>1131</v>
      </c>
      <c r="C21" s="54" t="s">
        <v>189</v>
      </c>
      <c r="D21" s="54" t="n">
        <v>45809</v>
      </c>
      <c r="E21" s="54" t="n">
        <v>45823</v>
      </c>
      <c r="F21" s="55" t="n">
        <v>301</v>
      </c>
      <c r="G21" s="55" t="s">
        <v>10</v>
      </c>
      <c r="H21" s="56" t="n">
        <v>7.5</v>
      </c>
      <c r="I21" s="55"/>
      <c r="J21" s="55"/>
      <c r="K21" s="56" t="n">
        <v>1958</v>
      </c>
    </row>
    <row r="22" customFormat="false" ht="14.65" hidden="false" customHeight="true" outlineLevel="0" collapsed="false">
      <c r="A22" s="54" t="s">
        <v>1132</v>
      </c>
      <c r="B22" s="54" t="s">
        <v>1133</v>
      </c>
      <c r="C22" s="54" t="s">
        <v>189</v>
      </c>
      <c r="D22" s="54" t="n">
        <v>45813</v>
      </c>
      <c r="E22" s="54" t="n">
        <v>45816</v>
      </c>
      <c r="F22" s="55"/>
      <c r="G22" s="55" t="s">
        <v>24</v>
      </c>
      <c r="H22" s="56"/>
      <c r="I22" s="55"/>
      <c r="J22" s="55"/>
      <c r="K22" s="56" t="n">
        <v>2022</v>
      </c>
    </row>
    <row r="23" customFormat="false" ht="14.65" hidden="false" customHeight="true" outlineLevel="0" collapsed="false">
      <c r="A23" s="54" t="s">
        <v>1134</v>
      </c>
      <c r="B23" s="54" t="s">
        <v>1135</v>
      </c>
      <c r="C23" s="54" t="s">
        <v>684</v>
      </c>
      <c r="D23" s="54" t="n">
        <v>45818</v>
      </c>
      <c r="E23" s="54" t="n">
        <v>45826</v>
      </c>
      <c r="F23" s="55" t="n">
        <v>392</v>
      </c>
      <c r="G23" s="55" t="s">
        <v>24</v>
      </c>
      <c r="H23" s="56" t="n">
        <v>6</v>
      </c>
      <c r="I23" s="55"/>
      <c r="J23" s="55"/>
      <c r="K23" s="56" t="n">
        <v>2024</v>
      </c>
    </row>
    <row r="24" customFormat="false" ht="14.65" hidden="false" customHeight="true" outlineLevel="0" collapsed="false">
      <c r="A24" s="54" t="s">
        <v>1136</v>
      </c>
      <c r="B24" s="54" t="s">
        <v>1137</v>
      </c>
      <c r="C24" s="54" t="s">
        <v>189</v>
      </c>
      <c r="D24" s="54" t="n">
        <v>45823</v>
      </c>
      <c r="E24" s="54" t="n">
        <v>45836</v>
      </c>
      <c r="F24" s="55" t="n">
        <v>400</v>
      </c>
      <c r="G24" s="55" t="s">
        <v>58</v>
      </c>
      <c r="H24" s="56" t="n">
        <v>7.5</v>
      </c>
      <c r="I24" s="55"/>
      <c r="J24" s="55"/>
      <c r="K24" s="56" t="n">
        <v>2019</v>
      </c>
    </row>
    <row r="25" customFormat="false" ht="14.65" hidden="false" customHeight="true" outlineLevel="0" collapsed="false">
      <c r="A25" s="54" t="s">
        <v>1138</v>
      </c>
      <c r="B25" s="54" t="s">
        <v>1139</v>
      </c>
      <c r="C25" s="54" t="s">
        <v>684</v>
      </c>
      <c r="D25" s="54" t="n">
        <v>45829</v>
      </c>
      <c r="E25" s="54" t="n">
        <v>45860</v>
      </c>
      <c r="F25" s="55" t="n">
        <v>452</v>
      </c>
      <c r="G25" s="55" t="s">
        <v>24</v>
      </c>
      <c r="H25" s="56" t="n">
        <v>9</v>
      </c>
      <c r="I25" s="55"/>
      <c r="J25" s="55"/>
      <c r="K25" s="56" t="n">
        <v>2019</v>
      </c>
    </row>
    <row r="26" customFormat="false" ht="14.65" hidden="false" customHeight="true" outlineLevel="0" collapsed="false">
      <c r="A26" s="54" t="s">
        <v>1140</v>
      </c>
      <c r="B26" s="54" t="s">
        <v>1141</v>
      </c>
      <c r="C26" s="54" t="s">
        <v>189</v>
      </c>
      <c r="D26" s="54" t="n">
        <v>45836</v>
      </c>
      <c r="E26" s="54" t="n">
        <v>45845</v>
      </c>
      <c r="F26" s="55" t="n">
        <v>448</v>
      </c>
      <c r="G26" s="55" t="s">
        <v>58</v>
      </c>
      <c r="H26" s="56" t="n">
        <v>5</v>
      </c>
      <c r="I26" s="55"/>
      <c r="J26" s="55"/>
      <c r="K26" s="56" t="n">
        <v>1919</v>
      </c>
    </row>
    <row r="27" customFormat="false" ht="14.65" hidden="false" customHeight="true" outlineLevel="0" collapsed="false">
      <c r="A27" s="54" t="s">
        <v>1142</v>
      </c>
      <c r="B27" s="54" t="s">
        <v>1143</v>
      </c>
      <c r="C27" s="54" t="s">
        <v>684</v>
      </c>
      <c r="D27" s="54" t="n">
        <v>45850</v>
      </c>
      <c r="E27" s="54" t="n">
        <v>45851</v>
      </c>
      <c r="F27" s="55" t="n">
        <v>80</v>
      </c>
      <c r="G27" s="55" t="s">
        <v>172</v>
      </c>
      <c r="H27" s="56" t="n">
        <v>7</v>
      </c>
      <c r="I27" s="55"/>
      <c r="J27" s="55"/>
      <c r="K27" s="56" t="n">
        <v>1962</v>
      </c>
    </row>
    <row r="28" customFormat="false" ht="14.65" hidden="false" customHeight="true" outlineLevel="0" collapsed="false">
      <c r="A28" s="54" t="s">
        <v>1144</v>
      </c>
      <c r="B28" s="54" t="s">
        <v>1145</v>
      </c>
      <c r="C28" s="54" t="s">
        <v>189</v>
      </c>
      <c r="D28" s="54" t="n">
        <v>45845</v>
      </c>
      <c r="E28" s="54" t="n">
        <v>45859</v>
      </c>
      <c r="F28" s="55" t="n">
        <v>464</v>
      </c>
      <c r="G28" s="55" t="s">
        <v>10</v>
      </c>
      <c r="H28" s="56"/>
      <c r="I28" s="55"/>
      <c r="J28" s="55"/>
      <c r="K28" s="56" t="n">
        <v>2011</v>
      </c>
    </row>
    <row r="29" customFormat="false" ht="14.65" hidden="false" customHeight="true" outlineLevel="0" collapsed="false">
      <c r="A29" s="54" t="s">
        <v>1146</v>
      </c>
      <c r="B29" s="54" t="s">
        <v>1147</v>
      </c>
      <c r="C29" s="54" t="s">
        <v>189</v>
      </c>
      <c r="D29" s="54" t="n">
        <v>45859</v>
      </c>
      <c r="E29" s="54" t="n">
        <v>45867</v>
      </c>
      <c r="F29" s="55" t="n">
        <v>320</v>
      </c>
      <c r="G29" s="55" t="s">
        <v>10</v>
      </c>
      <c r="H29" s="56" t="n">
        <v>6</v>
      </c>
      <c r="I29" s="55"/>
      <c r="J29" s="55"/>
      <c r="K29" s="56" t="n">
        <v>2014</v>
      </c>
    </row>
    <row r="30" customFormat="false" ht="14.65" hidden="false" customHeight="true" outlineLevel="0" collapsed="false">
      <c r="A30" s="54" t="s">
        <v>1148</v>
      </c>
      <c r="B30" s="54" t="s">
        <v>1143</v>
      </c>
      <c r="C30" s="54" t="s">
        <v>684</v>
      </c>
      <c r="D30" s="54" t="n">
        <v>45861</v>
      </c>
      <c r="E30" s="54" t="n">
        <v>45862</v>
      </c>
      <c r="F30" s="55" t="n">
        <v>64</v>
      </c>
      <c r="G30" s="55" t="s">
        <v>172</v>
      </c>
      <c r="H30" s="56" t="n">
        <v>7</v>
      </c>
      <c r="I30" s="55"/>
      <c r="J30" s="55"/>
      <c r="K30" s="56" t="n">
        <v>1935</v>
      </c>
    </row>
    <row r="31" customFormat="false" ht="14.65" hidden="false" customHeight="true" outlineLevel="0" collapsed="false">
      <c r="A31" s="54" t="s">
        <v>1149</v>
      </c>
      <c r="B31" s="54" t="s">
        <v>1150</v>
      </c>
      <c r="C31" s="54" t="s">
        <v>684</v>
      </c>
      <c r="D31" s="54" t="n">
        <v>45860</v>
      </c>
      <c r="E31" s="54" t="n">
        <v>45872</v>
      </c>
      <c r="F31" s="55" t="n">
        <v>128</v>
      </c>
      <c r="G31" s="55" t="s">
        <v>24</v>
      </c>
      <c r="H31" s="56" t="n">
        <v>4.5</v>
      </c>
      <c r="I31" s="55"/>
      <c r="J31" s="55"/>
      <c r="K31" s="56" t="n">
        <v>2018</v>
      </c>
    </row>
    <row r="32" customFormat="false" ht="14.65" hidden="false" customHeight="true" outlineLevel="0" collapsed="false">
      <c r="A32" s="54" t="s">
        <v>1151</v>
      </c>
      <c r="B32" s="54" t="s">
        <v>1143</v>
      </c>
      <c r="C32" s="54" t="s">
        <v>684</v>
      </c>
      <c r="D32" s="54" t="n">
        <v>45863</v>
      </c>
      <c r="E32" s="54" t="n">
        <v>45863</v>
      </c>
      <c r="F32" s="55" t="n">
        <v>69</v>
      </c>
      <c r="G32" s="55" t="s">
        <v>172</v>
      </c>
      <c r="H32" s="56" t="n">
        <v>6</v>
      </c>
      <c r="I32" s="55"/>
      <c r="J32" s="55"/>
      <c r="K32" s="56" t="n">
        <v>1931</v>
      </c>
    </row>
    <row r="33" customFormat="false" ht="14.65" hidden="false" customHeight="true" outlineLevel="0" collapsed="false">
      <c r="A33" s="54" t="s">
        <v>1152</v>
      </c>
      <c r="B33" s="54" t="s">
        <v>1143</v>
      </c>
      <c r="C33" s="54" t="s">
        <v>684</v>
      </c>
      <c r="D33" s="54" t="n">
        <v>45863</v>
      </c>
      <c r="E33" s="54" t="n">
        <v>45863</v>
      </c>
      <c r="F33" s="55" t="n">
        <v>62</v>
      </c>
      <c r="G33" s="55" t="s">
        <v>172</v>
      </c>
      <c r="H33" s="56" t="n">
        <v>6.5</v>
      </c>
      <c r="I33" s="55"/>
      <c r="J33" s="55"/>
      <c r="K33" s="56" t="n">
        <v>1934</v>
      </c>
    </row>
    <row r="34" customFormat="false" ht="14.65" hidden="false" customHeight="true" outlineLevel="0" collapsed="false">
      <c r="A34" s="54" t="s">
        <v>1153</v>
      </c>
      <c r="B34" s="54" t="s">
        <v>1143</v>
      </c>
      <c r="C34" s="54" t="s">
        <v>684</v>
      </c>
      <c r="D34" s="54" t="n">
        <v>45864</v>
      </c>
      <c r="E34" s="54" t="n">
        <v>45864</v>
      </c>
      <c r="F34" s="55" t="n">
        <v>64</v>
      </c>
      <c r="G34" s="55" t="s">
        <v>172</v>
      </c>
      <c r="H34" s="56" t="n">
        <v>7.4</v>
      </c>
      <c r="I34" s="55"/>
      <c r="J34" s="55"/>
      <c r="K34" s="56" t="n">
        <v>1938</v>
      </c>
    </row>
    <row r="35" customFormat="false" ht="14.65" hidden="false" customHeight="true" outlineLevel="0" collapsed="false">
      <c r="A35" s="54" t="s">
        <v>1154</v>
      </c>
      <c r="B35" s="54" t="s">
        <v>925</v>
      </c>
      <c r="C35" s="54" t="s">
        <v>189</v>
      </c>
      <c r="D35" s="54" t="n">
        <v>45867</v>
      </c>
      <c r="E35" s="54" t="n">
        <v>45871</v>
      </c>
      <c r="F35" s="55" t="n">
        <v>320</v>
      </c>
      <c r="G35" s="55" t="s">
        <v>10</v>
      </c>
      <c r="H35" s="56" t="n">
        <v>7</v>
      </c>
      <c r="I35" s="55"/>
      <c r="J35" s="55"/>
      <c r="K35" s="56" t="n">
        <v>2005</v>
      </c>
    </row>
    <row r="36" customFormat="false" ht="14.65" hidden="false" customHeight="true" outlineLevel="0" collapsed="false">
      <c r="A36" s="54" t="s">
        <v>1155</v>
      </c>
      <c r="B36" s="54" t="s">
        <v>407</v>
      </c>
      <c r="C36" s="54" t="s">
        <v>189</v>
      </c>
      <c r="D36" s="54" t="n">
        <v>45871</v>
      </c>
      <c r="E36" s="54" t="n">
        <v>45884</v>
      </c>
      <c r="F36" s="55" t="n">
        <v>403</v>
      </c>
      <c r="G36" s="55" t="s">
        <v>10</v>
      </c>
      <c r="H36" s="56" t="n">
        <v>7.5</v>
      </c>
      <c r="I36" s="55"/>
      <c r="J36" s="55"/>
      <c r="K36" s="56" t="n">
        <v>1987</v>
      </c>
    </row>
    <row r="37" customFormat="false" ht="14.65" hidden="false" customHeight="true" outlineLevel="0" collapsed="false">
      <c r="A37" s="54" t="s">
        <v>1156</v>
      </c>
      <c r="B37" s="54" t="s">
        <v>1157</v>
      </c>
      <c r="C37" s="54" t="s">
        <v>684</v>
      </c>
      <c r="D37" s="54" t="n">
        <v>45872</v>
      </c>
      <c r="E37" s="54" t="n">
        <v>45901</v>
      </c>
      <c r="F37" s="55" t="n">
        <v>1436</v>
      </c>
      <c r="G37" s="55" t="s">
        <v>58</v>
      </c>
      <c r="H37" s="56" t="n">
        <v>8.6</v>
      </c>
      <c r="I37" s="55"/>
      <c r="J37" s="55"/>
      <c r="K37" s="56" t="n">
        <v>2012</v>
      </c>
    </row>
    <row r="38" customFormat="false" ht="14.65" hidden="false" customHeight="true" outlineLevel="0" collapsed="false">
      <c r="A38" s="54" t="s">
        <v>1158</v>
      </c>
      <c r="B38" s="54" t="s">
        <v>407</v>
      </c>
      <c r="C38" s="54" t="s">
        <v>189</v>
      </c>
      <c r="D38" s="54" t="n">
        <v>45884</v>
      </c>
      <c r="E38" s="54" t="n">
        <v>45892</v>
      </c>
      <c r="F38" s="55" t="n">
        <v>290</v>
      </c>
      <c r="G38" s="55" t="s">
        <v>10</v>
      </c>
      <c r="H38" s="56" t="n">
        <v>8</v>
      </c>
      <c r="I38" s="55"/>
      <c r="J38" s="55"/>
      <c r="K38" s="56" t="n">
        <v>1987</v>
      </c>
    </row>
    <row r="39" customFormat="false" ht="14.65" hidden="false" customHeight="true" outlineLevel="0" collapsed="false">
      <c r="A39" s="54" t="s">
        <v>1159</v>
      </c>
      <c r="B39" s="54" t="s">
        <v>407</v>
      </c>
      <c r="C39" s="54" t="s">
        <v>189</v>
      </c>
      <c r="D39" s="54" t="n">
        <v>45892</v>
      </c>
      <c r="E39" s="54" t="n">
        <v>45907</v>
      </c>
      <c r="F39" s="55" t="n">
        <v>352</v>
      </c>
      <c r="G39" s="55" t="s">
        <v>10</v>
      </c>
      <c r="H39" s="56" t="n">
        <v>7</v>
      </c>
      <c r="I39" s="55"/>
      <c r="J39" s="55"/>
      <c r="K39" s="56" t="n">
        <v>1989</v>
      </c>
    </row>
    <row r="40" customFormat="false" ht="14.65" hidden="false" customHeight="true" outlineLevel="0" collapsed="false">
      <c r="A40" s="54" t="s">
        <v>1160</v>
      </c>
      <c r="B40" s="54" t="s">
        <v>1161</v>
      </c>
      <c r="C40" s="54" t="s">
        <v>684</v>
      </c>
      <c r="D40" s="54" t="n">
        <v>45901</v>
      </c>
      <c r="E40" s="54" t="n">
        <v>45951</v>
      </c>
      <c r="F40" s="55" t="n">
        <v>320</v>
      </c>
      <c r="G40" s="55" t="s">
        <v>1040</v>
      </c>
      <c r="H40" s="56" t="n">
        <v>6</v>
      </c>
      <c r="I40" s="55"/>
      <c r="J40" s="55"/>
      <c r="K40" s="56" t="n">
        <v>2022</v>
      </c>
    </row>
    <row r="41" customFormat="false" ht="14.65" hidden="false" customHeight="true" outlineLevel="0" collapsed="false">
      <c r="A41" s="57" t="n">
        <v>2312</v>
      </c>
      <c r="B41" s="54" t="s">
        <v>199</v>
      </c>
      <c r="C41" s="54" t="s">
        <v>189</v>
      </c>
      <c r="D41" s="54" t="n">
        <v>45907</v>
      </c>
      <c r="E41" s="54" t="n">
        <v>45925</v>
      </c>
      <c r="F41" s="55" t="n">
        <v>528</v>
      </c>
      <c r="G41" s="55" t="s">
        <v>10</v>
      </c>
      <c r="H41" s="56" t="n">
        <v>4</v>
      </c>
      <c r="I41" s="55"/>
      <c r="J41" s="55"/>
      <c r="K41" s="56" t="n">
        <v>2012</v>
      </c>
    </row>
    <row r="42" customFormat="false" ht="14.65" hidden="false" customHeight="true" outlineLevel="0" collapsed="false">
      <c r="A42" s="54" t="s">
        <v>1162</v>
      </c>
      <c r="B42" s="54" t="s">
        <v>1163</v>
      </c>
      <c r="C42" s="54" t="s">
        <v>189</v>
      </c>
      <c r="D42" s="54" t="n">
        <v>45913</v>
      </c>
      <c r="E42" s="54" t="n">
        <v>45914</v>
      </c>
      <c r="F42" s="55" t="n">
        <v>248</v>
      </c>
      <c r="G42" s="55" t="s">
        <v>10</v>
      </c>
      <c r="H42" s="56" t="n">
        <v>8</v>
      </c>
      <c r="I42" s="55"/>
      <c r="J42" s="55"/>
      <c r="K42" s="56" t="n">
        <v>1996</v>
      </c>
    </row>
    <row r="43" customFormat="false" ht="14.65" hidden="false" customHeight="true" outlineLevel="0" collapsed="false">
      <c r="A43" s="54" t="s">
        <v>1164</v>
      </c>
      <c r="B43" s="54" t="s">
        <v>1163</v>
      </c>
      <c r="C43" s="54" t="s">
        <v>189</v>
      </c>
      <c r="D43" s="54" t="n">
        <v>45914</v>
      </c>
      <c r="E43" s="54" t="n">
        <v>45917</v>
      </c>
      <c r="F43" s="55" t="n">
        <v>264</v>
      </c>
      <c r="G43" s="55" t="s">
        <v>10</v>
      </c>
      <c r="H43" s="56" t="n">
        <v>8</v>
      </c>
      <c r="I43" s="55"/>
      <c r="J43" s="55"/>
      <c r="K43" s="56" t="n">
        <v>1997</v>
      </c>
    </row>
    <row r="44" customFormat="false" ht="14.65" hidden="false" customHeight="true" outlineLevel="0" collapsed="false">
      <c r="A44" s="54" t="s">
        <v>1165</v>
      </c>
      <c r="B44" s="54" t="s">
        <v>1163</v>
      </c>
      <c r="C44" s="54" t="s">
        <v>189</v>
      </c>
      <c r="D44" s="54" t="n">
        <v>45917</v>
      </c>
      <c r="E44" s="54" t="n">
        <v>45921</v>
      </c>
      <c r="F44" s="55" t="n">
        <v>264</v>
      </c>
      <c r="G44" s="55" t="s">
        <v>10</v>
      </c>
      <c r="H44" s="56" t="n">
        <v>8</v>
      </c>
      <c r="I44" s="55"/>
      <c r="J44" s="55"/>
      <c r="K44" s="56" t="n">
        <v>1998</v>
      </c>
    </row>
    <row r="45" customFormat="false" ht="14.65" hidden="false" customHeight="true" outlineLevel="0" collapsed="false">
      <c r="A45" s="54" t="s">
        <v>1166</v>
      </c>
      <c r="B45" s="54" t="s">
        <v>925</v>
      </c>
      <c r="C45" s="54" t="s">
        <v>189</v>
      </c>
      <c r="D45" s="54" t="n">
        <v>45921</v>
      </c>
      <c r="E45" s="54" t="n">
        <v>45932</v>
      </c>
      <c r="F45" s="55" t="n">
        <v>328</v>
      </c>
      <c r="G45" s="55" t="s">
        <v>10</v>
      </c>
      <c r="H45" s="56" t="n">
        <v>7.5</v>
      </c>
      <c r="I45" s="55"/>
      <c r="J45" s="55"/>
      <c r="K45" s="56" t="n">
        <v>2018</v>
      </c>
    </row>
    <row r="46" customFormat="false" ht="14.65" hidden="false" customHeight="true" outlineLevel="0" collapsed="false">
      <c r="A46" s="54" t="s">
        <v>1167</v>
      </c>
      <c r="B46" s="54" t="s">
        <v>1163</v>
      </c>
      <c r="C46" s="54" t="s">
        <v>189</v>
      </c>
      <c r="D46" s="54" t="n">
        <v>45921</v>
      </c>
      <c r="E46" s="54" t="n">
        <v>45930</v>
      </c>
      <c r="F46" s="55" t="n">
        <v>280</v>
      </c>
      <c r="G46" s="55" t="s">
        <v>10</v>
      </c>
      <c r="H46" s="56" t="n">
        <v>8</v>
      </c>
      <c r="I46" s="55"/>
      <c r="J46" s="55"/>
      <c r="K46" s="56" t="n">
        <v>2000</v>
      </c>
    </row>
    <row r="47" customFormat="false" ht="14.65" hidden="false" customHeight="true" outlineLevel="0" collapsed="false">
      <c r="A47" s="54" t="s">
        <v>1168</v>
      </c>
      <c r="B47" s="54" t="s">
        <v>407</v>
      </c>
      <c r="C47" s="54" t="s">
        <v>189</v>
      </c>
      <c r="D47" s="54" t="n">
        <v>45930</v>
      </c>
      <c r="E47" s="54" t="n">
        <v>45943</v>
      </c>
      <c r="F47" s="55" t="n">
        <v>256</v>
      </c>
      <c r="G47" s="55" t="s">
        <v>10</v>
      </c>
      <c r="H47" s="56" t="n">
        <v>6</v>
      </c>
      <c r="I47" s="55"/>
      <c r="J47" s="55"/>
      <c r="K47" s="56" t="n">
        <v>1992</v>
      </c>
    </row>
    <row r="48" customFormat="false" ht="14.65" hidden="false" customHeight="true" outlineLevel="0" collapsed="false">
      <c r="A48" s="54" t="s">
        <v>1169</v>
      </c>
      <c r="B48" s="54" t="s">
        <v>925</v>
      </c>
      <c r="C48" s="54" t="s">
        <v>189</v>
      </c>
      <c r="D48" s="54" t="n">
        <v>45932</v>
      </c>
      <c r="E48" s="54" t="n">
        <v>45940</v>
      </c>
      <c r="F48" s="55" t="n">
        <v>312</v>
      </c>
      <c r="G48" s="55" t="s">
        <v>10</v>
      </c>
      <c r="H48" s="56" t="n">
        <v>8</v>
      </c>
      <c r="I48" s="55"/>
      <c r="J48" s="55"/>
      <c r="K48" s="56" t="n">
        <v>2018</v>
      </c>
    </row>
    <row r="49" customFormat="false" ht="14.65" hidden="false" customHeight="true" outlineLevel="0" collapsed="false">
      <c r="A49" s="54" t="s">
        <v>1170</v>
      </c>
      <c r="B49" s="54" t="s">
        <v>543</v>
      </c>
      <c r="C49" s="54" t="s">
        <v>189</v>
      </c>
      <c r="D49" s="54" t="n">
        <v>45940</v>
      </c>
      <c r="E49" s="54" t="n">
        <v>45973</v>
      </c>
      <c r="F49" s="55" t="n">
        <v>1135</v>
      </c>
      <c r="G49" s="55" t="s">
        <v>10</v>
      </c>
      <c r="H49" s="56" t="n">
        <v>9</v>
      </c>
      <c r="I49" s="55"/>
      <c r="J49" s="55"/>
      <c r="K49" s="56" t="n">
        <v>1994</v>
      </c>
    </row>
    <row r="50" customFormat="false" ht="14.65" hidden="false" customHeight="true" outlineLevel="0" collapsed="false">
      <c r="A50" s="54" t="s">
        <v>1171</v>
      </c>
      <c r="B50" s="54" t="s">
        <v>1172</v>
      </c>
      <c r="C50" s="54" t="s">
        <v>189</v>
      </c>
      <c r="D50" s="54" t="n">
        <v>45943</v>
      </c>
      <c r="E50" s="54" t="n">
        <v>45974</v>
      </c>
      <c r="F50" s="55" t="n">
        <v>544</v>
      </c>
      <c r="G50" s="55" t="s">
        <v>10</v>
      </c>
      <c r="H50" s="56" t="n">
        <v>6</v>
      </c>
      <c r="I50" s="55"/>
      <c r="J50" s="55"/>
      <c r="K50" s="56" t="n">
        <v>2014</v>
      </c>
    </row>
    <row r="51" customFormat="false" ht="14.65" hidden="false" customHeight="true" outlineLevel="0" collapsed="false">
      <c r="A51" s="54" t="s">
        <v>1173</v>
      </c>
      <c r="B51" s="54" t="s">
        <v>1174</v>
      </c>
      <c r="C51" s="54" t="s">
        <v>684</v>
      </c>
      <c r="D51" s="54" t="n">
        <v>45951</v>
      </c>
      <c r="E51" s="54" t="n">
        <v>45992</v>
      </c>
      <c r="F51" s="55" t="n">
        <v>587</v>
      </c>
      <c r="G51" s="55" t="s">
        <v>24</v>
      </c>
      <c r="H51" s="56" t="n">
        <v>8</v>
      </c>
      <c r="I51" s="55"/>
      <c r="J51" s="55"/>
      <c r="K51" s="56" t="n">
        <v>2019</v>
      </c>
    </row>
    <row r="52" customFormat="false" ht="14.65" hidden="false" customHeight="true" outlineLevel="0" collapsed="false">
      <c r="A52" s="54" t="s">
        <v>1175</v>
      </c>
      <c r="B52" s="54" t="s">
        <v>1176</v>
      </c>
      <c r="C52" s="54" t="s">
        <v>189</v>
      </c>
      <c r="D52" s="54" t="n">
        <v>45974</v>
      </c>
      <c r="E52" s="54" t="n">
        <v>45984</v>
      </c>
      <c r="F52" s="55" t="n">
        <v>456</v>
      </c>
      <c r="G52" s="55" t="s">
        <v>1177</v>
      </c>
      <c r="H52" s="56" t="n">
        <v>8</v>
      </c>
      <c r="I52" s="55"/>
      <c r="J52" s="55"/>
      <c r="K52" s="56" t="n">
        <v>2006</v>
      </c>
    </row>
    <row r="53" customFormat="false" ht="14.65" hidden="false" customHeight="true" outlineLevel="0" collapsed="false">
      <c r="A53" s="54" t="s">
        <v>1178</v>
      </c>
      <c r="B53" s="54" t="s">
        <v>9</v>
      </c>
      <c r="C53" s="54" t="s">
        <v>189</v>
      </c>
      <c r="D53" s="54" t="n">
        <v>45982</v>
      </c>
      <c r="E53" s="54" t="n">
        <v>45997</v>
      </c>
      <c r="F53" s="55" t="n">
        <v>480</v>
      </c>
      <c r="G53" s="55" t="s">
        <v>24</v>
      </c>
      <c r="H53" s="56" t="n">
        <v>8</v>
      </c>
      <c r="I53" s="55"/>
      <c r="J53" s="55"/>
      <c r="K53" s="56" t="n">
        <v>2009</v>
      </c>
    </row>
    <row r="54" customFormat="false" ht="14.65" hidden="false" customHeight="true" outlineLevel="0" collapsed="false">
      <c r="A54" s="54" t="s">
        <v>1179</v>
      </c>
      <c r="B54" s="54" t="s">
        <v>1163</v>
      </c>
      <c r="C54" s="54" t="s">
        <v>189</v>
      </c>
      <c r="D54" s="54" t="n">
        <v>45997</v>
      </c>
      <c r="E54" s="54" t="n">
        <v>46004</v>
      </c>
      <c r="F54" s="55" t="n">
        <v>360</v>
      </c>
      <c r="G54" s="55" t="s">
        <v>10</v>
      </c>
      <c r="H54" s="56" t="n">
        <v>7</v>
      </c>
      <c r="I54" s="55"/>
      <c r="J54" s="55"/>
      <c r="K54" s="56" t="n">
        <v>2003</v>
      </c>
    </row>
    <row r="55" customFormat="false" ht="14.65" hidden="false" customHeight="true" outlineLevel="0" collapsed="false">
      <c r="A55" s="54" t="s">
        <v>1180</v>
      </c>
      <c r="B55" s="54" t="s">
        <v>1163</v>
      </c>
      <c r="C55" s="54" t="s">
        <v>189</v>
      </c>
      <c r="D55" s="54" t="n">
        <v>46004</v>
      </c>
      <c r="E55" s="54" t="n">
        <v>46008</v>
      </c>
      <c r="F55" s="55" t="n">
        <v>360</v>
      </c>
      <c r="G55" s="55" t="s">
        <v>10</v>
      </c>
      <c r="H55" s="56" t="n">
        <v>6.5</v>
      </c>
      <c r="I55" s="55"/>
      <c r="J55" s="55"/>
      <c r="K55" s="56" t="n">
        <v>2006</v>
      </c>
    </row>
    <row r="56" customFormat="false" ht="14.65" hidden="false" customHeight="true" outlineLevel="0" collapsed="false">
      <c r="A56" s="54" t="s">
        <v>1181</v>
      </c>
      <c r="B56" s="54" t="s">
        <v>1182</v>
      </c>
      <c r="C56" s="54" t="s">
        <v>189</v>
      </c>
      <c r="D56" s="54" t="n">
        <v>46008</v>
      </c>
      <c r="E56" s="54" t="n">
        <v>46016</v>
      </c>
      <c r="F56" s="55" t="n">
        <v>320</v>
      </c>
      <c r="G56" s="55" t="s">
        <v>10</v>
      </c>
      <c r="H56" s="56" t="n">
        <v>6</v>
      </c>
      <c r="I56" s="55"/>
      <c r="J56" s="55"/>
      <c r="K56" s="56" t="n">
        <v>2013</v>
      </c>
    </row>
    <row r="57" customFormat="false" ht="14.65" hidden="false" customHeight="true" outlineLevel="0" collapsed="false">
      <c r="A57" s="54" t="s">
        <v>1183</v>
      </c>
      <c r="B57" s="54" t="s">
        <v>954</v>
      </c>
      <c r="C57" s="54" t="s">
        <v>189</v>
      </c>
      <c r="D57" s="54" t="n">
        <v>46017</v>
      </c>
      <c r="E57" s="54" t="n">
        <v>46387</v>
      </c>
      <c r="F57" s="55" t="n">
        <v>281</v>
      </c>
      <c r="G57" s="55" t="s">
        <v>10</v>
      </c>
      <c r="H57" s="56" t="n">
        <v>6</v>
      </c>
      <c r="I57" s="55"/>
      <c r="J57" s="55"/>
      <c r="K57" s="56" t="n">
        <v>1904</v>
      </c>
    </row>
    <row r="58" customFormat="false" ht="12" hidden="false" customHeight="true" outlineLevel="0" collapsed="false">
      <c r="F58" s="32" t="n">
        <f aca="false">SUMIFS(F2:F57,E2:E57,"&gt;0")</f>
        <v>22196</v>
      </c>
      <c r="G58" s="33"/>
      <c r="H58" s="34" t="n">
        <f aca="false">GEOMEAN(H2:H4)</f>
        <v>7.31861142004594</v>
      </c>
      <c r="I58" s="37" t="e">
        <f aca="false">NA()</f>
        <v>#N/A</v>
      </c>
      <c r="J58" s="37" t="e">
        <f aca="false">NA()</f>
        <v>#N/A</v>
      </c>
      <c r="K58" s="34"/>
    </row>
    <row r="59" customFormat="false" ht="12" hidden="false" customHeight="true" outlineLevel="0" collapsed="false">
      <c r="A59" s="24" t="s">
        <v>275</v>
      </c>
      <c r="I59" s="37" t="e">
        <f aca="false">NA()</f>
        <v>#N/A</v>
      </c>
      <c r="J59" s="37" t="e">
        <f aca="false">NA()</f>
        <v>#N/A</v>
      </c>
    </row>
    <row r="60" customFormat="false" ht="36" hidden="false" customHeight="true" outlineLevel="0" collapsed="false">
      <c r="A60" s="6" t="s">
        <v>277</v>
      </c>
      <c r="B60" s="6" t="s">
        <v>278</v>
      </c>
      <c r="C60" s="6" t="s">
        <v>279</v>
      </c>
      <c r="D60" s="6" t="s">
        <v>280</v>
      </c>
      <c r="I60" s="37" t="e">
        <f aca="false">NA()</f>
        <v>#N/A</v>
      </c>
      <c r="J60" s="37" t="e">
        <f aca="false">NA()</f>
        <v>#N/A</v>
      </c>
    </row>
    <row r="61" customFormat="false" ht="14.65" hidden="false" customHeight="true" outlineLevel="0" collapsed="false">
      <c r="A61" s="6" t="n">
        <f aca="false">COUNTIF(E2:E57,"&gt;0")</f>
        <v>56</v>
      </c>
      <c r="B61" s="6" t="n">
        <f aca="false">ROUND(F58/A61,0)</f>
        <v>396</v>
      </c>
      <c r="C61" s="6" t="e">
        <f aca="false">INDEX(J2:J82,MATCH(MAX(I2:I82),I2:I82,0),1)</f>
        <v>#N/A</v>
      </c>
      <c r="D61" s="6"/>
      <c r="I61" s="37" t="e">
        <f aca="false">NA()</f>
        <v>#N/A</v>
      </c>
      <c r="J61" s="37" t="e">
        <f aca="false">NA()</f>
        <v>#N/A</v>
      </c>
    </row>
    <row r="62" customFormat="false" ht="12" hidden="false" customHeight="true" outlineLevel="0" collapsed="false">
      <c r="I62" s="37" t="e">
        <f aca="false">NA()</f>
        <v>#N/A</v>
      </c>
      <c r="J62" s="37" t="e">
        <f aca="false">NA()</f>
        <v>#N/A</v>
      </c>
    </row>
    <row r="63" customFormat="false" ht="12" hidden="false" customHeight="true" outlineLevel="0" collapsed="false">
      <c r="I63" s="37" t="e">
        <f aca="false">NA()</f>
        <v>#N/A</v>
      </c>
      <c r="J63" s="37" t="e">
        <f aca="false">NA()</f>
        <v>#N/A</v>
      </c>
    </row>
    <row r="64" customFormat="false" ht="12" hidden="false" customHeight="true" outlineLevel="0" collapsed="false">
      <c r="I64" s="37" t="e">
        <f aca="false">NA()</f>
        <v>#N/A</v>
      </c>
      <c r="J64" s="37" t="e">
        <f aca="false">NA()</f>
        <v>#N/A</v>
      </c>
    </row>
    <row r="65" customFormat="false" ht="12" hidden="false" customHeight="true" outlineLevel="0" collapsed="false">
      <c r="I65" s="37" t="e">
        <f aca="false">NA()</f>
        <v>#N/A</v>
      </c>
      <c r="J65" s="37" t="e">
        <f aca="false">NA()</f>
        <v>#N/A</v>
      </c>
    </row>
    <row r="66" customFormat="false" ht="12" hidden="false" customHeight="true" outlineLevel="0" collapsed="false">
      <c r="I66" s="37" t="e">
        <f aca="false">NA()</f>
        <v>#N/A</v>
      </c>
      <c r="J66" s="37" t="e">
        <f aca="false">NA()</f>
        <v>#N/A</v>
      </c>
    </row>
    <row r="67" customFormat="false" ht="12" hidden="false" customHeight="true" outlineLevel="0" collapsed="false">
      <c r="I67" s="37" t="e">
        <f aca="false">NA()</f>
        <v>#N/A</v>
      </c>
      <c r="J67" s="37" t="e">
        <f aca="false">NA()</f>
        <v>#N/A</v>
      </c>
    </row>
    <row r="68" customFormat="false" ht="12" hidden="false" customHeight="true" outlineLevel="0" collapsed="false">
      <c r="I68" s="37" t="e">
        <f aca="false">NA()</f>
        <v>#N/A</v>
      </c>
      <c r="J68" s="37" t="e">
        <f aca="false">NA()</f>
        <v>#N/A</v>
      </c>
    </row>
    <row r="69" customFormat="false" ht="12" hidden="false" customHeight="true" outlineLevel="0" collapsed="false">
      <c r="I69" s="37" t="e">
        <f aca="false">NA()</f>
        <v>#N/A</v>
      </c>
      <c r="J69" s="37" t="e">
        <f aca="false">NA()</f>
        <v>#N/A</v>
      </c>
    </row>
    <row r="70" customFormat="false" ht="12" hidden="false" customHeight="true" outlineLevel="0" collapsed="false">
      <c r="I70" s="37" t="e">
        <f aca="false">NA()</f>
        <v>#N/A</v>
      </c>
      <c r="J70" s="37" t="e">
        <f aca="false">NA()</f>
        <v>#N/A</v>
      </c>
    </row>
    <row r="71" customFormat="false" ht="12" hidden="false" customHeight="true" outlineLevel="0" collapsed="false">
      <c r="I71" s="37" t="e">
        <f aca="false">NA()</f>
        <v>#N/A</v>
      </c>
      <c r="J71" s="37" t="e">
        <f aca="false">NA()</f>
        <v>#N/A</v>
      </c>
    </row>
    <row r="72" customFormat="false" ht="12" hidden="false" customHeight="true" outlineLevel="0" collapsed="false">
      <c r="I72" s="37" t="e">
        <f aca="false">NA()</f>
        <v>#N/A</v>
      </c>
      <c r="J72" s="37" t="e">
        <f aca="false">NA()</f>
        <v>#N/A</v>
      </c>
    </row>
    <row r="73" customFormat="false" ht="12" hidden="false" customHeight="true" outlineLevel="0" collapsed="false">
      <c r="I73" s="37" t="e">
        <f aca="false">NA()</f>
        <v>#N/A</v>
      </c>
      <c r="J73" s="37" t="e">
        <f aca="false">NA()</f>
        <v>#N/A</v>
      </c>
    </row>
    <row r="74" customFormat="false" ht="12" hidden="false" customHeight="true" outlineLevel="0" collapsed="false">
      <c r="I74" s="37" t="e">
        <f aca="false">NA()</f>
        <v>#N/A</v>
      </c>
      <c r="J74" s="37" t="e">
        <f aca="false">NA()</f>
        <v>#N/A</v>
      </c>
    </row>
    <row r="75" customFormat="false" ht="12" hidden="false" customHeight="true" outlineLevel="0" collapsed="false">
      <c r="I75" s="37" t="e">
        <f aca="false">NA()</f>
        <v>#N/A</v>
      </c>
      <c r="J75" s="37" t="e">
        <f aca="false">NA()</f>
        <v>#N/A</v>
      </c>
    </row>
    <row r="76" customFormat="false" ht="12" hidden="false" customHeight="true" outlineLevel="0" collapsed="false">
      <c r="I76" s="37" t="e">
        <f aca="false">NA()</f>
        <v>#N/A</v>
      </c>
      <c r="J76" s="37" t="e">
        <f aca="false">NA()</f>
        <v>#N/A</v>
      </c>
    </row>
    <row r="77" customFormat="false" ht="12" hidden="false" customHeight="true" outlineLevel="0" collapsed="false">
      <c r="I77" s="37" t="e">
        <f aca="false">NA()</f>
        <v>#N/A</v>
      </c>
      <c r="J77" s="37" t="e">
        <f aca="false">NA()</f>
        <v>#N/A</v>
      </c>
    </row>
    <row r="78" customFormat="false" ht="12" hidden="false" customHeight="true" outlineLevel="0" collapsed="false">
      <c r="I78" s="37" t="e">
        <f aca="false">NA()</f>
        <v>#N/A</v>
      </c>
      <c r="J78" s="37" t="e">
        <f aca="false">NA()</f>
        <v>#N/A</v>
      </c>
    </row>
    <row r="79" customFormat="false" ht="12" hidden="false" customHeight="true" outlineLevel="0" collapsed="false">
      <c r="I79" s="37" t="e">
        <f aca="false">NA()</f>
        <v>#N/A</v>
      </c>
      <c r="J79" s="37" t="e">
        <f aca="false">NA()</f>
        <v>#N/A</v>
      </c>
    </row>
    <row r="80" customFormat="false" ht="12" hidden="false" customHeight="true" outlineLevel="0" collapsed="false">
      <c r="I80" s="37" t="e">
        <f aca="false">NA()</f>
        <v>#N/A</v>
      </c>
      <c r="J80" s="37" t="e">
        <f aca="false">NA()</f>
        <v>#N/A</v>
      </c>
    </row>
    <row r="81" customFormat="false" ht="12" hidden="false" customHeight="true" outlineLevel="0" collapsed="false">
      <c r="I81" s="37" t="e">
        <f aca="false">NA()</f>
        <v>#N/A</v>
      </c>
      <c r="J81" s="37" t="e">
        <f aca="false">NA()</f>
        <v>#N/A</v>
      </c>
    </row>
    <row r="82" customFormat="false" ht="12" hidden="false" customHeight="true" outlineLevel="0" collapsed="false">
      <c r="I82" s="37" t="e">
        <f aca="false">NA()</f>
        <v>#N/A</v>
      </c>
      <c r="J82" s="37" t="e">
        <f aca="false">NA()</f>
        <v>#N/A</v>
      </c>
    </row>
    <row r="65523" customFormat="false" ht="12.8" hidden="false" customHeight="true" outlineLevel="0" collapsed="false"/>
    <row r="65524" customFormat="false" ht="12.8" hidden="false" customHeight="true" outlineLevel="0" collapsed="false"/>
    <row r="65525" customFormat="false" ht="12.8" hidden="false" customHeight="true" outlineLevel="0" collapsed="false"/>
    <row r="65526" customFormat="false" ht="12.8" hidden="false" customHeight="true" outlineLevel="0" collapsed="false"/>
    <row r="65527" customFormat="false" ht="12.8" hidden="false" customHeight="true" outlineLevel="0" collapsed="false"/>
    <row r="65528" customFormat="false" ht="12.8" hidden="false" customHeight="true" outlineLevel="0" collapsed="false"/>
    <row r="65529" customFormat="false" ht="12.8" hidden="false" customHeight="true" outlineLevel="0" collapsed="false"/>
    <row r="65530" customFormat="false" ht="12.8" hidden="false" customHeight="true" outlineLevel="0" collapsed="false"/>
    <row r="65531" customFormat="false" ht="12.8" hidden="false" customHeight="true" outlineLevel="0" collapsed="false"/>
    <row r="65532" customFormat="false" ht="12.8" hidden="false" customHeight="true" outlineLevel="0" collapsed="false"/>
    <row r="65533" customFormat="false" ht="12.8" hidden="false" customHeight="true" outlineLevel="0" collapsed="false"/>
    <row r="65534" customFormat="false" ht="12.8" hidden="false" customHeight="true" outlineLevel="0" collapsed="false"/>
    <row r="65535" customFormat="false" ht="12.8" hidden="false" customHeight="true" outlineLevel="0" collapsed="false"/>
    <row r="6553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5518"/>
  <sheetViews>
    <sheetView showFormulas="false" showGridLines="true" showRowColHeaders="true" showZeros="true" rightToLeft="false" tabSelected="true" showOutlineSymbols="true" defaultGridColor="true" view="normal" topLeftCell="A13" colorId="64" zoomScale="110" zoomScaleNormal="110" zoomScalePageLayoutView="100" workbookViewId="0">
      <selection pane="topLeft" activeCell="F53" activeCellId="0" sqref="F53"/>
    </sheetView>
  </sheetViews>
  <sheetFormatPr defaultColWidth="10.5" defaultRowHeight="12" zeroHeight="false" outlineLevelRow="0" outlineLevelCol="0"/>
  <cols>
    <col collapsed="false" customWidth="true" hidden="false" outlineLevel="0" max="1" min="1" style="0" width="47.49"/>
    <col collapsed="false" customWidth="true" hidden="false" outlineLevel="0" max="2" min="2" style="0" width="27.49"/>
    <col collapsed="false" customWidth="true" hidden="false" outlineLevel="0" max="3" min="3" style="0" width="6.5"/>
    <col collapsed="false" customWidth="true" hidden="false" outlineLevel="0" max="4" min="4" style="0" width="11.5"/>
    <col collapsed="false" customWidth="true" hidden="false" outlineLevel="0" max="6" min="6" style="0" width="11.5"/>
    <col collapsed="false" customWidth="true" hidden="false" outlineLevel="0" max="8" min="8" style="0" width="14.49"/>
    <col collapsed="false" customWidth="false" hidden="true" outlineLevel="0" max="10" min="9" style="0" width="10.5"/>
    <col collapsed="false" customWidth="true" hidden="false" outlineLevel="0" max="11" min="11" style="0" width="22.49"/>
  </cols>
  <sheetData>
    <row r="1" s="6" customFormat="true" ht="12.8" hidden="false" customHeight="true" outlineLevel="0" collapsed="false">
      <c r="A1" s="24" t="s">
        <v>0</v>
      </c>
      <c r="B1" s="25" t="s">
        <v>1</v>
      </c>
      <c r="C1" s="25" t="s">
        <v>2</v>
      </c>
      <c r="D1" s="26" t="s">
        <v>3</v>
      </c>
      <c r="E1" s="27" t="s">
        <v>4</v>
      </c>
      <c r="F1" s="26" t="s">
        <v>5</v>
      </c>
      <c r="G1" s="27" t="s">
        <v>6</v>
      </c>
      <c r="H1" s="28" t="s">
        <v>7</v>
      </c>
      <c r="I1" s="35" t="s">
        <v>281</v>
      </c>
      <c r="J1" s="36" t="s">
        <v>1</v>
      </c>
      <c r="K1" s="28" t="s">
        <v>513</v>
      </c>
    </row>
    <row r="2" customFormat="false" ht="12.8" hidden="false" customHeight="true" outlineLevel="0" collapsed="false">
      <c r="A2" s="49" t="s">
        <v>725</v>
      </c>
      <c r="B2" s="49" t="s">
        <v>426</v>
      </c>
      <c r="C2" s="49" t="s">
        <v>189</v>
      </c>
      <c r="D2" s="49" t="n">
        <v>43318</v>
      </c>
      <c r="E2" s="49"/>
      <c r="F2" s="52" t="n">
        <v>304</v>
      </c>
      <c r="G2" s="52" t="s">
        <v>10</v>
      </c>
      <c r="H2" s="51"/>
      <c r="I2" s="37"/>
      <c r="J2" s="37"/>
      <c r="K2" s="51" t="n">
        <v>1969</v>
      </c>
    </row>
    <row r="3" customFormat="false" ht="12.8" hidden="false" customHeight="true" outlineLevel="0" collapsed="false">
      <c r="A3" s="49" t="s">
        <v>927</v>
      </c>
      <c r="B3" s="49" t="s">
        <v>928</v>
      </c>
      <c r="C3" s="49" t="s">
        <v>684</v>
      </c>
      <c r="D3" s="49" t="n">
        <v>44860</v>
      </c>
      <c r="E3" s="49"/>
      <c r="F3" s="52" t="n">
        <v>416</v>
      </c>
      <c r="G3" s="52" t="s">
        <v>24</v>
      </c>
      <c r="H3" s="51"/>
      <c r="I3" s="37"/>
      <c r="J3" s="37"/>
      <c r="K3" s="51" t="n">
        <v>2022</v>
      </c>
    </row>
    <row r="4" customFormat="false" ht="12.8" hidden="false" customHeight="true" outlineLevel="0" collapsed="false">
      <c r="A4" s="49" t="s">
        <v>1004</v>
      </c>
      <c r="B4" s="49" t="s">
        <v>1005</v>
      </c>
      <c r="C4" s="49" t="s">
        <v>684</v>
      </c>
      <c r="D4" s="49" t="n">
        <v>44929</v>
      </c>
      <c r="E4" s="49"/>
      <c r="F4" s="52" t="n">
        <v>668</v>
      </c>
      <c r="G4" s="52" t="s">
        <v>1120</v>
      </c>
      <c r="H4" s="51"/>
      <c r="I4" s="37"/>
      <c r="J4" s="37"/>
      <c r="K4" s="51" t="n">
        <v>1320</v>
      </c>
    </row>
    <row r="5" customFormat="false" ht="12.8" hidden="false" customHeight="true" outlineLevel="0" collapsed="false">
      <c r="A5" s="49" t="s">
        <v>854</v>
      </c>
      <c r="B5" s="49" t="s">
        <v>840</v>
      </c>
      <c r="C5" s="49" t="s">
        <v>189</v>
      </c>
      <c r="D5" s="49" t="n">
        <v>44406</v>
      </c>
      <c r="E5" s="49"/>
      <c r="F5" s="52" t="n">
        <v>384</v>
      </c>
      <c r="G5" s="52" t="s">
        <v>10</v>
      </c>
      <c r="H5" s="51"/>
      <c r="I5" s="37"/>
      <c r="J5" s="37"/>
      <c r="K5" s="51" t="n">
        <v>1984</v>
      </c>
    </row>
    <row r="6" customFormat="false" ht="12" hidden="false" customHeight="true" outlineLevel="0" collapsed="false">
      <c r="A6" s="49" t="s">
        <v>1006</v>
      </c>
      <c r="B6" s="49" t="s">
        <v>1007</v>
      </c>
      <c r="C6" s="49" t="s">
        <v>684</v>
      </c>
      <c r="D6" s="49" t="n">
        <v>45124</v>
      </c>
      <c r="E6" s="49"/>
      <c r="F6" s="52" t="n">
        <v>351</v>
      </c>
      <c r="G6" s="52" t="s">
        <v>10</v>
      </c>
      <c r="H6" s="51"/>
      <c r="I6" s="37"/>
      <c r="J6" s="37"/>
      <c r="K6" s="51" t="n">
        <v>2005</v>
      </c>
    </row>
    <row r="7" customFormat="false" ht="12" hidden="false" customHeight="true" outlineLevel="0" collapsed="false">
      <c r="A7" s="49" t="s">
        <v>404</v>
      </c>
      <c r="B7" s="49" t="s">
        <v>405</v>
      </c>
      <c r="C7" s="49" t="s">
        <v>684</v>
      </c>
      <c r="D7" s="49"/>
      <c r="E7" s="49"/>
      <c r="F7" s="52" t="n">
        <v>676</v>
      </c>
      <c r="G7" s="52" t="s">
        <v>24</v>
      </c>
      <c r="H7" s="51"/>
      <c r="I7" s="37"/>
      <c r="J7" s="37"/>
      <c r="K7" s="51" t="n">
        <v>2019</v>
      </c>
    </row>
    <row r="8" customFormat="false" ht="12" hidden="false" customHeight="true" outlineLevel="0" collapsed="false">
      <c r="A8" s="49" t="s">
        <v>1009</v>
      </c>
      <c r="B8" s="49" t="s">
        <v>1010</v>
      </c>
      <c r="C8" s="49" t="s">
        <v>684</v>
      </c>
      <c r="D8" s="49"/>
      <c r="E8" s="49"/>
      <c r="F8" s="52" t="n">
        <v>150</v>
      </c>
      <c r="G8" s="52" t="s">
        <v>172</v>
      </c>
      <c r="H8" s="51"/>
      <c r="I8" s="37"/>
      <c r="J8" s="37"/>
      <c r="K8" s="51" t="n">
        <v>2022</v>
      </c>
    </row>
    <row r="9" customFormat="false" ht="12" hidden="false" customHeight="true" outlineLevel="0" collapsed="false">
      <c r="A9" s="49" t="s">
        <v>1011</v>
      </c>
      <c r="B9" s="49" t="s">
        <v>1012</v>
      </c>
      <c r="C9" s="49" t="s">
        <v>684</v>
      </c>
      <c r="D9" s="49"/>
      <c r="E9" s="49"/>
      <c r="F9" s="52" t="n">
        <v>746</v>
      </c>
      <c r="G9" s="52" t="s">
        <v>10</v>
      </c>
      <c r="H9" s="51"/>
      <c r="I9" s="37"/>
      <c r="J9" s="37"/>
      <c r="K9" s="51" t="n">
        <v>1984</v>
      </c>
    </row>
    <row r="10" customFormat="false" ht="12" hidden="false" customHeight="true" outlineLevel="0" collapsed="false">
      <c r="A10" s="49" t="s">
        <v>1013</v>
      </c>
      <c r="B10" s="49" t="s">
        <v>1014</v>
      </c>
      <c r="C10" s="49" t="s">
        <v>684</v>
      </c>
      <c r="D10" s="49"/>
      <c r="E10" s="49"/>
      <c r="F10" s="52" t="n">
        <v>218</v>
      </c>
      <c r="G10" s="52" t="s">
        <v>24</v>
      </c>
      <c r="H10" s="51"/>
      <c r="I10" s="37"/>
      <c r="J10" s="37"/>
      <c r="K10" s="51" t="n">
        <v>2022</v>
      </c>
    </row>
    <row r="11" customFormat="false" ht="12" hidden="false" customHeight="true" outlineLevel="0" collapsed="false">
      <c r="A11" s="49" t="s">
        <v>1015</v>
      </c>
      <c r="B11" s="49" t="s">
        <v>1016</v>
      </c>
      <c r="C11" s="49" t="s">
        <v>684</v>
      </c>
      <c r="D11" s="49" t="n">
        <v>45231</v>
      </c>
      <c r="E11" s="49"/>
      <c r="F11" s="52" t="n">
        <v>336</v>
      </c>
      <c r="G11" s="52" t="s">
        <v>58</v>
      </c>
      <c r="H11" s="51"/>
      <c r="I11" s="37"/>
      <c r="J11" s="37"/>
      <c r="K11" s="51" t="n">
        <v>1972</v>
      </c>
    </row>
    <row r="12" customFormat="false" ht="12" hidden="false" customHeight="true" outlineLevel="0" collapsed="false">
      <c r="A12" s="49" t="s">
        <v>1031</v>
      </c>
      <c r="B12" s="49" t="s">
        <v>1032</v>
      </c>
      <c r="C12" s="49" t="s">
        <v>684</v>
      </c>
      <c r="D12" s="49" t="n">
        <v>45328</v>
      </c>
      <c r="E12" s="49"/>
      <c r="F12" s="52" t="n">
        <v>494</v>
      </c>
      <c r="G12" s="52" t="s">
        <v>10</v>
      </c>
      <c r="H12" s="51"/>
      <c r="I12" s="37"/>
      <c r="J12" s="37"/>
      <c r="K12" s="51" t="n">
        <v>1973</v>
      </c>
    </row>
    <row r="13" customFormat="false" ht="14.65" hidden="false" customHeight="true" outlineLevel="0" collapsed="false">
      <c r="A13" s="49" t="s">
        <v>1184</v>
      </c>
      <c r="B13" s="49" t="s">
        <v>1185</v>
      </c>
      <c r="C13" s="49" t="s">
        <v>684</v>
      </c>
      <c r="D13" s="49" t="n">
        <v>45826</v>
      </c>
      <c r="E13" s="49"/>
      <c r="F13" s="52" t="n">
        <v>216</v>
      </c>
      <c r="G13" s="52" t="s">
        <v>1120</v>
      </c>
      <c r="H13" s="51"/>
      <c r="I13" s="37"/>
      <c r="J13" s="37"/>
      <c r="K13" s="51" t="n">
        <v>-700</v>
      </c>
    </row>
    <row r="14" customFormat="false" ht="14.65" hidden="false" customHeight="true" outlineLevel="0" collapsed="false">
      <c r="A14" s="54" t="s">
        <v>1186</v>
      </c>
      <c r="B14" s="54" t="s">
        <v>1187</v>
      </c>
      <c r="C14" s="54" t="s">
        <v>684</v>
      </c>
      <c r="D14" s="54" t="n">
        <v>45992</v>
      </c>
      <c r="E14" s="54" t="n">
        <v>46027</v>
      </c>
      <c r="F14" s="55" t="n">
        <v>386</v>
      </c>
      <c r="G14" s="55" t="s">
        <v>24</v>
      </c>
      <c r="H14" s="56" t="n">
        <v>8</v>
      </c>
      <c r="I14" s="55"/>
      <c r="J14" s="55"/>
      <c r="K14" s="56" t="n">
        <v>2019</v>
      </c>
    </row>
    <row r="15" customFormat="false" ht="14.65" hidden="false" customHeight="true" outlineLevel="0" collapsed="false">
      <c r="A15" s="54" t="s">
        <v>1188</v>
      </c>
      <c r="B15" s="54" t="s">
        <v>675</v>
      </c>
      <c r="C15" s="54" t="s">
        <v>189</v>
      </c>
      <c r="D15" s="54" t="n">
        <v>46023</v>
      </c>
      <c r="E15" s="54" t="n">
        <v>46098</v>
      </c>
      <c r="F15" s="55" t="n">
        <v>352</v>
      </c>
      <c r="G15" s="55" t="s">
        <v>10</v>
      </c>
      <c r="H15" s="56" t="n">
        <v>8</v>
      </c>
      <c r="I15" s="55"/>
      <c r="J15" s="55"/>
      <c r="K15" s="56" t="n">
        <v>2003</v>
      </c>
    </row>
    <row r="16" customFormat="false" ht="14.65" hidden="false" customHeight="true" outlineLevel="0" collapsed="false">
      <c r="A16" s="54" t="s">
        <v>1189</v>
      </c>
      <c r="B16" s="54" t="s">
        <v>965</v>
      </c>
      <c r="C16" s="54" t="s">
        <v>189</v>
      </c>
      <c r="D16" s="54" t="n">
        <v>46023</v>
      </c>
      <c r="E16" s="54" t="n">
        <v>46086</v>
      </c>
      <c r="F16" s="55" t="n">
        <v>192</v>
      </c>
      <c r="G16" s="55" t="s">
        <v>10</v>
      </c>
      <c r="H16" s="56" t="n">
        <v>7</v>
      </c>
      <c r="I16" s="55"/>
      <c r="J16" s="55"/>
      <c r="K16" s="56" t="n">
        <v>1874</v>
      </c>
    </row>
    <row r="17" customFormat="false" ht="14.65" hidden="false" customHeight="true" outlineLevel="0" collapsed="false">
      <c r="A17" s="54" t="s">
        <v>1190</v>
      </c>
      <c r="B17" s="54" t="s">
        <v>934</v>
      </c>
      <c r="C17" s="54" t="s">
        <v>189</v>
      </c>
      <c r="D17" s="54" t="n">
        <v>46023</v>
      </c>
      <c r="E17" s="54" t="n">
        <v>46057</v>
      </c>
      <c r="F17" s="55" t="n">
        <v>355</v>
      </c>
      <c r="G17" s="55" t="s">
        <v>10</v>
      </c>
      <c r="H17" s="56" t="n">
        <v>8</v>
      </c>
      <c r="I17" s="55"/>
      <c r="J17" s="55"/>
      <c r="K17" s="56" t="n">
        <v>1989</v>
      </c>
    </row>
    <row r="18" customFormat="false" ht="12" hidden="false" customHeight="true" outlineLevel="0" collapsed="false">
      <c r="A18" s="54" t="s">
        <v>1008</v>
      </c>
      <c r="B18" s="54" t="s">
        <v>144</v>
      </c>
      <c r="C18" s="54" t="s">
        <v>684</v>
      </c>
      <c r="D18" s="54" t="n">
        <v>46027</v>
      </c>
      <c r="E18" s="54" t="n">
        <v>46067</v>
      </c>
      <c r="F18" s="55" t="n">
        <v>651</v>
      </c>
      <c r="G18" s="55" t="s">
        <v>249</v>
      </c>
      <c r="H18" s="56" t="n">
        <v>8</v>
      </c>
      <c r="I18" s="55"/>
      <c r="J18" s="55"/>
      <c r="K18" s="56" t="n">
        <v>1987</v>
      </c>
    </row>
    <row r="19" customFormat="false" ht="12" hidden="false" customHeight="true" outlineLevel="0" collapsed="false">
      <c r="A19" s="49" t="s">
        <v>1191</v>
      </c>
      <c r="B19" s="49" t="s">
        <v>1192</v>
      </c>
      <c r="C19" s="49" t="s">
        <v>684</v>
      </c>
      <c r="D19" s="49" t="n">
        <v>46036</v>
      </c>
      <c r="E19" s="49"/>
      <c r="F19" s="52" t="n">
        <v>208</v>
      </c>
      <c r="G19" s="52" t="s">
        <v>10</v>
      </c>
      <c r="H19" s="51"/>
      <c r="I19" s="37"/>
      <c r="J19" s="37"/>
      <c r="K19" s="51" t="n">
        <v>2025</v>
      </c>
    </row>
    <row r="20" customFormat="false" ht="12" hidden="false" customHeight="true" outlineLevel="0" collapsed="false">
      <c r="A20" s="54" t="s">
        <v>1193</v>
      </c>
      <c r="B20" s="54" t="s">
        <v>954</v>
      </c>
      <c r="C20" s="54" t="s">
        <v>189</v>
      </c>
      <c r="D20" s="54" t="n">
        <v>46058</v>
      </c>
      <c r="E20" s="54" t="n">
        <v>46082</v>
      </c>
      <c r="F20" s="55" t="n">
        <v>144</v>
      </c>
      <c r="G20" s="55" t="s">
        <v>10</v>
      </c>
      <c r="H20" s="56" t="n">
        <v>6</v>
      </c>
      <c r="I20" s="55"/>
      <c r="J20" s="55"/>
      <c r="K20" s="56" t="n">
        <v>1900</v>
      </c>
    </row>
    <row r="21" customFormat="false" ht="12" hidden="false" customHeight="true" outlineLevel="0" collapsed="false">
      <c r="A21" s="54" t="s">
        <v>1194</v>
      </c>
      <c r="B21" s="54" t="s">
        <v>1195</v>
      </c>
      <c r="C21" s="54" t="s">
        <v>684</v>
      </c>
      <c r="D21" s="54" t="n">
        <v>46067</v>
      </c>
      <c r="E21" s="54" t="n">
        <v>46078</v>
      </c>
      <c r="F21" s="55" t="n">
        <v>184</v>
      </c>
      <c r="G21" s="55" t="s">
        <v>10</v>
      </c>
      <c r="H21" s="56" t="n">
        <v>8</v>
      </c>
      <c r="I21" s="55"/>
      <c r="J21" s="55"/>
      <c r="K21" s="56" t="n">
        <v>2014</v>
      </c>
    </row>
    <row r="22" customFormat="false" ht="12" hidden="false" customHeight="true" outlineLevel="0" collapsed="false">
      <c r="A22" s="54" t="s">
        <v>1196</v>
      </c>
      <c r="B22" s="54" t="s">
        <v>1197</v>
      </c>
      <c r="C22" s="54" t="s">
        <v>684</v>
      </c>
      <c r="D22" s="54" t="n">
        <v>46029</v>
      </c>
      <c r="E22" s="54"/>
      <c r="F22" s="55" t="n">
        <v>220</v>
      </c>
      <c r="G22" s="55" t="s">
        <v>172</v>
      </c>
      <c r="H22" s="56"/>
      <c r="I22" s="55"/>
      <c r="J22" s="55"/>
      <c r="K22" s="56" t="n">
        <v>2024</v>
      </c>
    </row>
    <row r="23" customFormat="false" ht="12" hidden="false" customHeight="true" outlineLevel="0" collapsed="false">
      <c r="A23" s="54" t="s">
        <v>1198</v>
      </c>
      <c r="B23" s="54" t="s">
        <v>1199</v>
      </c>
      <c r="C23" s="54" t="s">
        <v>684</v>
      </c>
      <c r="D23" s="54" t="n">
        <v>46075</v>
      </c>
      <c r="E23" s="54" t="n">
        <v>46082</v>
      </c>
      <c r="F23" s="55" t="n">
        <v>200</v>
      </c>
      <c r="G23" s="55" t="s">
        <v>58</v>
      </c>
      <c r="H23" s="56" t="n">
        <v>8</v>
      </c>
      <c r="I23" s="55"/>
      <c r="J23" s="55"/>
      <c r="K23" s="56" t="n">
        <v>2025</v>
      </c>
    </row>
    <row r="24" customFormat="false" ht="12" hidden="false" customHeight="true" outlineLevel="0" collapsed="false">
      <c r="A24" s="54" t="s">
        <v>1200</v>
      </c>
      <c r="B24" s="54" t="s">
        <v>1003</v>
      </c>
      <c r="C24" s="54" t="s">
        <v>189</v>
      </c>
      <c r="D24" s="54" t="n">
        <v>46082</v>
      </c>
      <c r="E24" s="54" t="n">
        <v>46176</v>
      </c>
      <c r="F24" s="55" t="n">
        <v>544</v>
      </c>
      <c r="G24" s="55" t="s">
        <v>10</v>
      </c>
      <c r="H24" s="56" t="n">
        <v>7</v>
      </c>
      <c r="I24" s="55"/>
      <c r="J24" s="55"/>
      <c r="K24" s="56" t="n">
        <v>2013</v>
      </c>
    </row>
    <row r="25" customFormat="false" ht="12" hidden="false" customHeight="true" outlineLevel="0" collapsed="false">
      <c r="A25" s="54" t="s">
        <v>1201</v>
      </c>
      <c r="B25" s="54" t="s">
        <v>1202</v>
      </c>
      <c r="C25" s="54" t="s">
        <v>684</v>
      </c>
      <c r="D25" s="54" t="n">
        <v>46078</v>
      </c>
      <c r="E25" s="54" t="n">
        <v>46123</v>
      </c>
      <c r="F25" s="55" t="n">
        <v>735</v>
      </c>
      <c r="G25" s="55" t="s">
        <v>58</v>
      </c>
      <c r="H25" s="56" t="n">
        <v>9</v>
      </c>
      <c r="I25" s="55"/>
      <c r="J25" s="55"/>
      <c r="K25" s="56" t="n">
        <v>2011</v>
      </c>
    </row>
    <row r="26" customFormat="false" ht="12" hidden="false" customHeight="true" outlineLevel="0" collapsed="false">
      <c r="A26" s="54" t="s">
        <v>1203</v>
      </c>
      <c r="B26" s="54" t="s">
        <v>1204</v>
      </c>
      <c r="C26" s="54" t="s">
        <v>189</v>
      </c>
      <c r="D26" s="54" t="n">
        <v>46101</v>
      </c>
      <c r="E26" s="54" t="n">
        <v>46194</v>
      </c>
      <c r="F26" s="55" t="n">
        <v>480</v>
      </c>
      <c r="G26" s="55" t="s">
        <v>10</v>
      </c>
      <c r="H26" s="56" t="n">
        <v>7</v>
      </c>
      <c r="I26" s="55"/>
      <c r="J26" s="55"/>
      <c r="K26" s="56" t="n">
        <v>1886</v>
      </c>
    </row>
    <row r="27" customFormat="false" ht="12" hidden="false" customHeight="true" outlineLevel="0" collapsed="false">
      <c r="A27" s="54" t="s">
        <v>1205</v>
      </c>
      <c r="B27" s="54" t="s">
        <v>1206</v>
      </c>
      <c r="C27" s="54" t="s">
        <v>189</v>
      </c>
      <c r="D27" s="54" t="n">
        <v>46106</v>
      </c>
      <c r="E27" s="54" t="n">
        <v>46216</v>
      </c>
      <c r="F27" s="55" t="n">
        <v>888</v>
      </c>
      <c r="G27" s="55" t="s">
        <v>10</v>
      </c>
      <c r="H27" s="56" t="n">
        <v>7</v>
      </c>
      <c r="I27" s="55"/>
      <c r="J27" s="55"/>
      <c r="K27" s="56" t="n">
        <v>2020</v>
      </c>
    </row>
    <row r="28" customFormat="false" ht="12" hidden="false" customHeight="true" outlineLevel="0" collapsed="false">
      <c r="A28" s="54" t="s">
        <v>1207</v>
      </c>
      <c r="B28" s="54" t="s">
        <v>1208</v>
      </c>
      <c r="C28" s="54" t="s">
        <v>684</v>
      </c>
      <c r="D28" s="54" t="n">
        <v>46113</v>
      </c>
      <c r="E28" s="54" t="n">
        <v>46171</v>
      </c>
      <c r="F28" s="55" t="n">
        <v>990</v>
      </c>
      <c r="G28" s="55" t="s">
        <v>58</v>
      </c>
      <c r="H28" s="56" t="n">
        <v>8</v>
      </c>
      <c r="I28" s="55"/>
      <c r="J28" s="55"/>
      <c r="K28" s="56" t="n">
        <v>1993</v>
      </c>
    </row>
    <row r="29" customFormat="false" ht="12" hidden="false" customHeight="true" outlineLevel="0" collapsed="false">
      <c r="A29" s="54" t="s">
        <v>1209</v>
      </c>
      <c r="B29" s="54" t="s">
        <v>1210</v>
      </c>
      <c r="C29" s="54" t="s">
        <v>684</v>
      </c>
      <c r="D29" s="54" t="n">
        <v>46151</v>
      </c>
      <c r="E29" s="54" t="n">
        <v>46199</v>
      </c>
      <c r="F29" s="55" t="n">
        <v>456</v>
      </c>
      <c r="G29" s="55" t="s">
        <v>58</v>
      </c>
      <c r="H29" s="56" t="n">
        <v>7</v>
      </c>
      <c r="I29" s="55"/>
      <c r="J29" s="55"/>
      <c r="K29" s="56" t="n">
        <v>2025</v>
      </c>
    </row>
    <row r="30" customFormat="false" ht="12" hidden="false" customHeight="true" outlineLevel="0" collapsed="false">
      <c r="A30" s="54" t="s">
        <v>1211</v>
      </c>
      <c r="B30" s="54" t="s">
        <v>1202</v>
      </c>
      <c r="C30" s="54" t="s">
        <v>684</v>
      </c>
      <c r="D30" s="54" t="n">
        <v>46171</v>
      </c>
      <c r="E30" s="54" t="n">
        <v>46194</v>
      </c>
      <c r="F30" s="55" t="n">
        <v>688</v>
      </c>
      <c r="G30" s="55" t="s">
        <v>58</v>
      </c>
      <c r="H30" s="56" t="n">
        <v>9</v>
      </c>
      <c r="I30" s="55"/>
      <c r="J30" s="55"/>
      <c r="K30" s="56" t="n">
        <v>2005</v>
      </c>
    </row>
    <row r="31" customFormat="false" ht="12" hidden="false" customHeight="true" outlineLevel="0" collapsed="false">
      <c r="A31" s="54" t="s">
        <v>1212</v>
      </c>
      <c r="B31" s="54" t="s">
        <v>1213</v>
      </c>
      <c r="C31" s="54" t="s">
        <v>189</v>
      </c>
      <c r="D31" s="54" t="n">
        <v>46176</v>
      </c>
      <c r="E31" s="54" t="n">
        <v>46203</v>
      </c>
      <c r="F31" s="55" t="n">
        <v>368</v>
      </c>
      <c r="G31" s="55" t="s">
        <v>10</v>
      </c>
      <c r="H31" s="56" t="n">
        <v>8</v>
      </c>
      <c r="I31" s="55"/>
      <c r="J31" s="55"/>
      <c r="K31" s="56" t="n">
        <v>2011</v>
      </c>
    </row>
    <row r="32" customFormat="false" ht="12" hidden="false" customHeight="true" outlineLevel="0" collapsed="false">
      <c r="A32" s="54" t="s">
        <v>1214</v>
      </c>
      <c r="B32" s="54" t="s">
        <v>1215</v>
      </c>
      <c r="C32" s="54" t="s">
        <v>684</v>
      </c>
      <c r="D32" s="54" t="n">
        <v>46202</v>
      </c>
      <c r="E32" s="54" t="n">
        <v>46206</v>
      </c>
      <c r="F32" s="55" t="n">
        <v>391</v>
      </c>
      <c r="G32" s="55" t="s">
        <v>24</v>
      </c>
      <c r="H32" s="56" t="n">
        <v>9.5</v>
      </c>
      <c r="I32" s="55"/>
      <c r="J32" s="55"/>
      <c r="K32" s="56" t="n">
        <v>2022</v>
      </c>
    </row>
    <row r="33" customFormat="false" ht="12" hidden="false" customHeight="true" outlineLevel="0" collapsed="false">
      <c r="A33" s="54" t="s">
        <v>1216</v>
      </c>
      <c r="B33" s="54" t="s">
        <v>1217</v>
      </c>
      <c r="C33" s="54" t="s">
        <v>684</v>
      </c>
      <c r="D33" s="54" t="n">
        <v>46196</v>
      </c>
      <c r="E33" s="54" t="n">
        <v>46215</v>
      </c>
      <c r="F33" s="55" t="n">
        <v>391</v>
      </c>
      <c r="G33" s="55" t="s">
        <v>10</v>
      </c>
      <c r="H33" s="56" t="n">
        <v>7.7</v>
      </c>
      <c r="I33" s="55"/>
      <c r="J33" s="55"/>
      <c r="K33" s="56" t="n">
        <v>2024</v>
      </c>
    </row>
    <row r="34" customFormat="false" ht="12" hidden="false" customHeight="true" outlineLevel="0" collapsed="false">
      <c r="A34" s="54" t="s">
        <v>510</v>
      </c>
      <c r="B34" s="54" t="s">
        <v>370</v>
      </c>
      <c r="C34" s="54" t="s">
        <v>189</v>
      </c>
      <c r="D34" s="54" t="n">
        <v>46203</v>
      </c>
      <c r="E34" s="54" t="n">
        <v>46206</v>
      </c>
      <c r="F34" s="55" t="n">
        <v>240</v>
      </c>
      <c r="G34" s="55" t="s">
        <v>24</v>
      </c>
      <c r="H34" s="56" t="n">
        <v>9</v>
      </c>
      <c r="I34" s="55"/>
      <c r="J34" s="55"/>
      <c r="K34" s="56" t="n">
        <v>2007</v>
      </c>
    </row>
    <row r="35" customFormat="false" ht="12" hidden="false" customHeight="true" outlineLevel="0" collapsed="false">
      <c r="A35" s="54" t="s">
        <v>638</v>
      </c>
      <c r="B35" s="54" t="s">
        <v>370</v>
      </c>
      <c r="C35" s="54" t="s">
        <v>189</v>
      </c>
      <c r="D35" s="54" t="n">
        <v>46206</v>
      </c>
      <c r="E35" s="54" t="n">
        <v>46228</v>
      </c>
      <c r="F35" s="55" t="n">
        <v>624</v>
      </c>
      <c r="G35" s="55" t="s">
        <v>24</v>
      </c>
      <c r="H35" s="56" t="n">
        <v>8.9</v>
      </c>
      <c r="I35" s="55"/>
      <c r="J35" s="55"/>
      <c r="K35" s="56" t="n">
        <v>2015</v>
      </c>
    </row>
    <row r="36" customFormat="false" ht="12" hidden="false" customHeight="true" outlineLevel="0" collapsed="false">
      <c r="A36" s="54" t="s">
        <v>1218</v>
      </c>
      <c r="B36" s="54" t="s">
        <v>965</v>
      </c>
      <c r="C36" s="54" t="s">
        <v>189</v>
      </c>
      <c r="D36" s="54" t="n">
        <v>46206</v>
      </c>
      <c r="E36" s="54" t="n">
        <v>46244</v>
      </c>
      <c r="F36" s="55" t="n">
        <v>288</v>
      </c>
      <c r="G36" s="55" t="s">
        <v>10</v>
      </c>
      <c r="H36" s="56" t="n">
        <v>6</v>
      </c>
      <c r="I36" s="55"/>
      <c r="J36" s="55"/>
      <c r="K36" s="56" t="n">
        <v>1874</v>
      </c>
    </row>
    <row r="37" customFormat="false" ht="12" hidden="false" customHeight="true" outlineLevel="0" collapsed="false">
      <c r="A37" s="54" t="s">
        <v>1219</v>
      </c>
      <c r="B37" s="54" t="s">
        <v>905</v>
      </c>
      <c r="C37" s="54" t="s">
        <v>189</v>
      </c>
      <c r="D37" s="54" t="n">
        <v>46216</v>
      </c>
      <c r="E37" s="54" t="n">
        <v>46244</v>
      </c>
      <c r="F37" s="55" t="n">
        <v>539</v>
      </c>
      <c r="G37" s="55" t="s">
        <v>10</v>
      </c>
      <c r="H37" s="56" t="n">
        <v>9</v>
      </c>
      <c r="I37" s="55"/>
      <c r="J37" s="55"/>
      <c r="K37" s="56" t="n">
        <v>2007</v>
      </c>
    </row>
    <row r="38" customFormat="false" ht="12" hidden="false" customHeight="true" outlineLevel="0" collapsed="false">
      <c r="A38" s="54" t="s">
        <v>1220</v>
      </c>
      <c r="B38" s="54" t="s">
        <v>1109</v>
      </c>
      <c r="C38" s="54" t="s">
        <v>684</v>
      </c>
      <c r="D38" s="54" t="n">
        <v>46215</v>
      </c>
      <c r="E38" s="54" t="n">
        <v>46269</v>
      </c>
      <c r="F38" s="55" t="n">
        <v>400</v>
      </c>
      <c r="G38" s="55" t="s">
        <v>24</v>
      </c>
      <c r="H38" s="56" t="n">
        <v>8.5</v>
      </c>
      <c r="I38" s="55"/>
      <c r="J38" s="55"/>
      <c r="K38" s="56" t="n">
        <v>2003</v>
      </c>
    </row>
    <row r="39" customFormat="false" ht="12" hidden="false" customHeight="true" outlineLevel="0" collapsed="false">
      <c r="A39" s="54" t="s">
        <v>1221</v>
      </c>
      <c r="B39" s="54" t="s">
        <v>370</v>
      </c>
      <c r="C39" s="54" t="s">
        <v>189</v>
      </c>
      <c r="D39" s="54" t="n">
        <v>46228</v>
      </c>
      <c r="E39" s="54" t="n">
        <v>46242</v>
      </c>
      <c r="F39" s="55" t="n">
        <v>560</v>
      </c>
      <c r="G39" s="55" t="s">
        <v>24</v>
      </c>
      <c r="H39" s="56" t="n">
        <v>9</v>
      </c>
      <c r="I39" s="55"/>
      <c r="J39" s="55"/>
      <c r="K39" s="56" t="n">
        <v>2022</v>
      </c>
    </row>
    <row r="40" customFormat="false" ht="12" hidden="false" customHeight="true" outlineLevel="0" collapsed="false">
      <c r="A40" s="54" t="s">
        <v>1222</v>
      </c>
      <c r="B40" s="54" t="s">
        <v>1223</v>
      </c>
      <c r="C40" s="54" t="s">
        <v>189</v>
      </c>
      <c r="D40" s="54" t="n">
        <v>46241</v>
      </c>
      <c r="E40" s="54" t="n">
        <v>46252</v>
      </c>
      <c r="F40" s="55" t="n">
        <v>320</v>
      </c>
      <c r="G40" s="55" t="s">
        <v>58</v>
      </c>
      <c r="H40" s="56" t="n">
        <v>5</v>
      </c>
      <c r="I40" s="55"/>
      <c r="J40" s="55"/>
      <c r="K40" s="56" t="n">
        <v>1990</v>
      </c>
    </row>
    <row r="41" customFormat="false" ht="12" hidden="false" customHeight="true" outlineLevel="0" collapsed="false">
      <c r="A41" s="49" t="s">
        <v>469</v>
      </c>
      <c r="B41" s="49" t="s">
        <v>470</v>
      </c>
      <c r="C41" s="49" t="s">
        <v>189</v>
      </c>
      <c r="D41" s="49" t="n">
        <v>46241</v>
      </c>
      <c r="E41" s="49"/>
      <c r="F41" s="52" t="n">
        <v>320</v>
      </c>
      <c r="G41" s="52" t="s">
        <v>24</v>
      </c>
      <c r="H41" s="51"/>
      <c r="I41" s="37"/>
      <c r="J41" s="37"/>
      <c r="K41" s="51" t="n">
        <v>1994</v>
      </c>
    </row>
    <row r="42" customFormat="false" ht="12" hidden="false" customHeight="true" outlineLevel="0" collapsed="false">
      <c r="A42" s="54" t="s">
        <v>1224</v>
      </c>
      <c r="B42" s="54" t="s">
        <v>925</v>
      </c>
      <c r="C42" s="54" t="s">
        <v>189</v>
      </c>
      <c r="D42" s="54" t="n">
        <v>46244</v>
      </c>
      <c r="E42" s="54" t="n">
        <v>46247</v>
      </c>
      <c r="F42" s="55" t="n">
        <v>288</v>
      </c>
      <c r="G42" s="55" t="s">
        <v>10</v>
      </c>
      <c r="H42" s="56" t="n">
        <v>7</v>
      </c>
      <c r="I42" s="55"/>
      <c r="J42" s="55"/>
      <c r="K42" s="56" t="n">
        <v>2012</v>
      </c>
    </row>
    <row r="43" customFormat="false" ht="12" hidden="false" customHeight="true" outlineLevel="0" collapsed="false">
      <c r="A43" s="54" t="s">
        <v>1225</v>
      </c>
      <c r="B43" s="54" t="s">
        <v>965</v>
      </c>
      <c r="C43" s="54" t="s">
        <v>189</v>
      </c>
      <c r="D43" s="54" t="n">
        <v>46244</v>
      </c>
      <c r="E43" s="54" t="n">
        <v>46252</v>
      </c>
      <c r="F43" s="55" t="n">
        <v>240</v>
      </c>
      <c r="G43" s="55" t="s">
        <v>10</v>
      </c>
      <c r="H43" s="56" t="n">
        <v>7</v>
      </c>
      <c r="I43" s="55"/>
      <c r="J43" s="55"/>
      <c r="K43" s="56" t="n">
        <v>1874</v>
      </c>
    </row>
    <row r="44" customFormat="false" ht="12" hidden="false" customHeight="true" outlineLevel="0" collapsed="false">
      <c r="A44" s="54" t="s">
        <v>1226</v>
      </c>
      <c r="B44" s="54" t="s">
        <v>1096</v>
      </c>
      <c r="C44" s="54" t="s">
        <v>189</v>
      </c>
      <c r="D44" s="54" t="n">
        <v>46248</v>
      </c>
      <c r="E44" s="54" t="n">
        <v>46269</v>
      </c>
      <c r="F44" s="55" t="n">
        <v>463</v>
      </c>
      <c r="G44" s="55" t="s">
        <v>10</v>
      </c>
      <c r="H44" s="56" t="n">
        <v>8.7</v>
      </c>
      <c r="I44" s="55"/>
      <c r="J44" s="55"/>
      <c r="K44" s="56" t="n">
        <v>1965</v>
      </c>
    </row>
    <row r="45" customFormat="false" ht="12" hidden="false" customHeight="true" outlineLevel="0" collapsed="false">
      <c r="A45" s="49" t="s">
        <v>1227</v>
      </c>
      <c r="B45" s="49" t="s">
        <v>174</v>
      </c>
      <c r="C45" s="49" t="s">
        <v>189</v>
      </c>
      <c r="D45" s="49" t="n">
        <v>46253</v>
      </c>
      <c r="E45" s="49"/>
      <c r="F45" s="52" t="n">
        <v>336</v>
      </c>
      <c r="G45" s="52" t="s">
        <v>10</v>
      </c>
      <c r="H45" s="51"/>
      <c r="I45" s="37"/>
      <c r="J45" s="37"/>
      <c r="K45" s="51" t="n">
        <v>2001</v>
      </c>
    </row>
    <row r="46" customFormat="false" ht="12" hidden="false" customHeight="true" outlineLevel="0" collapsed="false">
      <c r="A46" s="54" t="s">
        <v>1228</v>
      </c>
      <c r="B46" s="54" t="s">
        <v>1229</v>
      </c>
      <c r="C46" s="54" t="s">
        <v>684</v>
      </c>
      <c r="D46" s="54" t="n">
        <v>46269</v>
      </c>
      <c r="E46" s="54" t="n">
        <v>46271</v>
      </c>
      <c r="F46" s="55" t="n">
        <v>139</v>
      </c>
      <c r="G46" s="55" t="s">
        <v>10</v>
      </c>
      <c r="H46" s="56"/>
      <c r="I46" s="55"/>
      <c r="J46" s="55"/>
      <c r="K46" s="56" t="n">
        <v>1951</v>
      </c>
    </row>
    <row r="47" customFormat="false" ht="12" hidden="false" customHeight="true" outlineLevel="0" collapsed="false">
      <c r="A47" s="54" t="s">
        <v>1230</v>
      </c>
      <c r="B47" s="54" t="s">
        <v>1231</v>
      </c>
      <c r="C47" s="54" t="s">
        <v>189</v>
      </c>
      <c r="D47" s="54" t="n">
        <v>46253</v>
      </c>
      <c r="E47" s="54" t="n">
        <v>46295</v>
      </c>
      <c r="F47" s="55" t="n">
        <v>336</v>
      </c>
      <c r="G47" s="55" t="s">
        <v>10</v>
      </c>
      <c r="H47" s="56" t="n">
        <v>8</v>
      </c>
      <c r="I47" s="55"/>
      <c r="J47" s="55"/>
      <c r="K47" s="56" t="n">
        <v>1959</v>
      </c>
    </row>
    <row r="48" customFormat="false" ht="12" hidden="false" customHeight="true" outlineLevel="0" collapsed="false">
      <c r="A48" s="54" t="s">
        <v>1232</v>
      </c>
      <c r="B48" s="54" t="s">
        <v>1233</v>
      </c>
      <c r="C48" s="54" t="s">
        <v>684</v>
      </c>
      <c r="D48" s="54" t="n">
        <v>46271</v>
      </c>
      <c r="E48" s="54" t="n">
        <v>46280</v>
      </c>
      <c r="F48" s="55" t="n">
        <v>211</v>
      </c>
      <c r="G48" s="55" t="s">
        <v>58</v>
      </c>
      <c r="H48" s="56" t="n">
        <v>8</v>
      </c>
      <c r="I48" s="55"/>
      <c r="J48" s="55"/>
      <c r="K48" s="56" t="n">
        <v>2001</v>
      </c>
    </row>
    <row r="49" customFormat="false" ht="12" hidden="false" customHeight="true" outlineLevel="0" collapsed="false">
      <c r="A49" s="49" t="s">
        <v>1234</v>
      </c>
      <c r="B49" s="49" t="s">
        <v>1235</v>
      </c>
      <c r="C49" s="49" t="s">
        <v>684</v>
      </c>
      <c r="D49" s="49" t="n">
        <v>46280</v>
      </c>
      <c r="E49" s="49"/>
      <c r="F49" s="52" t="n">
        <v>320</v>
      </c>
      <c r="G49" s="52" t="s">
        <v>10</v>
      </c>
      <c r="H49" s="51"/>
      <c r="I49" s="37"/>
      <c r="J49" s="37"/>
      <c r="K49" s="51" t="n">
        <v>1985</v>
      </c>
    </row>
    <row r="50" customFormat="false" ht="12" hidden="false" customHeight="true" outlineLevel="0" collapsed="false">
      <c r="A50" s="49" t="s">
        <v>1236</v>
      </c>
      <c r="B50" s="49" t="s">
        <v>849</v>
      </c>
      <c r="C50" s="49" t="s">
        <v>684</v>
      </c>
      <c r="D50" s="49" t="n">
        <v>46293</v>
      </c>
      <c r="E50" s="49"/>
      <c r="F50" s="52" t="n">
        <v>400</v>
      </c>
      <c r="G50" s="52" t="s">
        <v>24</v>
      </c>
      <c r="H50" s="51"/>
      <c r="I50" s="37"/>
      <c r="J50" s="37"/>
      <c r="K50" s="51" t="n">
        <v>2023</v>
      </c>
    </row>
    <row r="51" customFormat="false" ht="12" hidden="false" customHeight="true" outlineLevel="0" collapsed="false">
      <c r="A51" s="54" t="s">
        <v>1237</v>
      </c>
      <c r="B51" s="54" t="s">
        <v>1238</v>
      </c>
      <c r="C51" s="54" t="s">
        <v>189</v>
      </c>
      <c r="D51" s="54" t="n">
        <v>46295</v>
      </c>
      <c r="E51" s="54" t="n">
        <v>46297</v>
      </c>
      <c r="F51" s="55" t="n">
        <v>120</v>
      </c>
      <c r="G51" s="55" t="s">
        <v>24</v>
      </c>
      <c r="H51" s="56"/>
      <c r="I51" s="55"/>
      <c r="J51" s="55"/>
      <c r="K51" s="56" t="n">
        <v>1897</v>
      </c>
    </row>
    <row r="52" customFormat="false" ht="12" hidden="false" customHeight="true" outlineLevel="0" collapsed="false">
      <c r="A52" s="49" t="s">
        <v>1239</v>
      </c>
      <c r="B52" s="49" t="s">
        <v>1240</v>
      </c>
      <c r="C52" s="49" t="s">
        <v>189</v>
      </c>
      <c r="D52" s="49" t="n">
        <v>46297</v>
      </c>
      <c r="E52" s="49"/>
      <c r="F52" s="52" t="n">
        <v>416</v>
      </c>
      <c r="G52" s="52" t="s">
        <v>10</v>
      </c>
      <c r="H52" s="51"/>
      <c r="I52" s="37"/>
      <c r="J52" s="37"/>
      <c r="K52" s="51" t="n">
        <v>1960</v>
      </c>
    </row>
    <row r="53" customFormat="false" ht="12" hidden="false" customHeight="true" outlineLevel="0" collapsed="false">
      <c r="F53" s="32" t="n">
        <f aca="false">SUMIFS(F2:F52,E2:E52,"&gt;0")</f>
        <v>13163</v>
      </c>
      <c r="G53" s="33"/>
      <c r="H53" s="34" t="n">
        <f aca="false">GEOMEAN(H2:H52)</f>
        <v>7.73607118354102</v>
      </c>
      <c r="I53" s="37" t="e">
        <f aca="false">NA()</f>
        <v>#N/A</v>
      </c>
      <c r="J53" s="37" t="e">
        <f aca="false">NA()</f>
        <v>#N/A</v>
      </c>
      <c r="K53" s="34"/>
    </row>
    <row r="54" customFormat="false" ht="12" hidden="false" customHeight="true" outlineLevel="0" collapsed="false">
      <c r="A54" s="24" t="s">
        <v>275</v>
      </c>
      <c r="I54" s="37" t="e">
        <f aca="false">NA()</f>
        <v>#N/A</v>
      </c>
      <c r="J54" s="37" t="e">
        <f aca="false">NA()</f>
        <v>#N/A</v>
      </c>
    </row>
    <row r="55" customFormat="false" ht="36" hidden="false" customHeight="true" outlineLevel="0" collapsed="false">
      <c r="A55" s="6" t="s">
        <v>277</v>
      </c>
      <c r="B55" s="6" t="s">
        <v>278</v>
      </c>
      <c r="C55" s="6" t="s">
        <v>279</v>
      </c>
      <c r="D55" s="6" t="s">
        <v>280</v>
      </c>
      <c r="I55" s="37" t="e">
        <f aca="false">NA()</f>
        <v>#N/A</v>
      </c>
      <c r="J55" s="37" t="e">
        <f aca="false">NA()</f>
        <v>#N/A</v>
      </c>
    </row>
    <row r="56" customFormat="false" ht="14.65" hidden="false" customHeight="true" outlineLevel="0" collapsed="false">
      <c r="A56" s="6" t="n">
        <f aca="false">COUNTIF(E2:E52,"&gt;0")</f>
        <v>32</v>
      </c>
      <c r="B56" s="6" t="n">
        <f aca="false">ROUND(F53/A56,0)</f>
        <v>411</v>
      </c>
      <c r="C56" s="6" t="e">
        <f aca="false">INDEX(J3:J77,MATCH(MAX(I3:I77),I3:I77,0),1)</f>
        <v>#N/A</v>
      </c>
      <c r="D56" s="6"/>
      <c r="I56" s="37" t="e">
        <f aca="false">NA()</f>
        <v>#N/A</v>
      </c>
      <c r="J56" s="37" t="e">
        <f aca="false">NA()</f>
        <v>#N/A</v>
      </c>
    </row>
    <row r="57" customFormat="false" ht="12" hidden="false" customHeight="true" outlineLevel="0" collapsed="false">
      <c r="I57" s="37" t="e">
        <f aca="false">NA()</f>
        <v>#N/A</v>
      </c>
      <c r="J57" s="37" t="e">
        <f aca="false">NA()</f>
        <v>#N/A</v>
      </c>
    </row>
    <row r="58" customFormat="false" ht="12" hidden="false" customHeight="true" outlineLevel="0" collapsed="false">
      <c r="I58" s="37" t="e">
        <f aca="false">NA()</f>
        <v>#N/A</v>
      </c>
      <c r="J58" s="37" t="e">
        <f aca="false">NA()</f>
        <v>#N/A</v>
      </c>
    </row>
    <row r="59" customFormat="false" ht="12" hidden="false" customHeight="true" outlineLevel="0" collapsed="false">
      <c r="I59" s="37" t="e">
        <f aca="false">NA()</f>
        <v>#N/A</v>
      </c>
      <c r="J59" s="37" t="e">
        <f aca="false">NA()</f>
        <v>#N/A</v>
      </c>
    </row>
    <row r="60" customFormat="false" ht="12" hidden="false" customHeight="true" outlineLevel="0" collapsed="false">
      <c r="I60" s="37" t="e">
        <f aca="false">NA()</f>
        <v>#N/A</v>
      </c>
      <c r="J60" s="37" t="e">
        <f aca="false">NA()</f>
        <v>#N/A</v>
      </c>
    </row>
    <row r="61" customFormat="false" ht="12" hidden="false" customHeight="true" outlineLevel="0" collapsed="false">
      <c r="I61" s="37" t="e">
        <f aca="false">NA()</f>
        <v>#N/A</v>
      </c>
      <c r="J61" s="37" t="e">
        <f aca="false">NA()</f>
        <v>#N/A</v>
      </c>
    </row>
    <row r="62" customFormat="false" ht="12" hidden="false" customHeight="true" outlineLevel="0" collapsed="false">
      <c r="I62" s="37" t="e">
        <f aca="false">NA()</f>
        <v>#N/A</v>
      </c>
      <c r="J62" s="37" t="e">
        <f aca="false">NA()</f>
        <v>#N/A</v>
      </c>
    </row>
    <row r="63" customFormat="false" ht="12" hidden="false" customHeight="true" outlineLevel="0" collapsed="false">
      <c r="I63" s="37" t="e">
        <f aca="false">NA()</f>
        <v>#N/A</v>
      </c>
      <c r="J63" s="37" t="e">
        <f aca="false">NA()</f>
        <v>#N/A</v>
      </c>
    </row>
    <row r="64" customFormat="false" ht="12" hidden="false" customHeight="true" outlineLevel="0" collapsed="false">
      <c r="I64" s="37" t="e">
        <f aca="false">NA()</f>
        <v>#N/A</v>
      </c>
      <c r="J64" s="37" t="e">
        <f aca="false">NA()</f>
        <v>#N/A</v>
      </c>
    </row>
    <row r="65" customFormat="false" ht="12" hidden="false" customHeight="true" outlineLevel="0" collapsed="false">
      <c r="I65" s="37" t="e">
        <f aca="false">NA()</f>
        <v>#N/A</v>
      </c>
      <c r="J65" s="37" t="e">
        <f aca="false">NA()</f>
        <v>#N/A</v>
      </c>
    </row>
    <row r="66" customFormat="false" ht="12" hidden="false" customHeight="true" outlineLevel="0" collapsed="false">
      <c r="I66" s="37" t="e">
        <f aca="false">NA()</f>
        <v>#N/A</v>
      </c>
      <c r="J66" s="37" t="e">
        <f aca="false">NA()</f>
        <v>#N/A</v>
      </c>
    </row>
    <row r="67" customFormat="false" ht="12" hidden="false" customHeight="true" outlineLevel="0" collapsed="false">
      <c r="I67" s="37" t="e">
        <f aca="false">NA()</f>
        <v>#N/A</v>
      </c>
      <c r="J67" s="37" t="e">
        <f aca="false">NA()</f>
        <v>#N/A</v>
      </c>
    </row>
    <row r="68" customFormat="false" ht="12" hidden="false" customHeight="true" outlineLevel="0" collapsed="false">
      <c r="I68" s="37" t="e">
        <f aca="false">NA()</f>
        <v>#N/A</v>
      </c>
      <c r="J68" s="37" t="e">
        <f aca="false">NA()</f>
        <v>#N/A</v>
      </c>
    </row>
    <row r="69" customFormat="false" ht="12" hidden="false" customHeight="true" outlineLevel="0" collapsed="false">
      <c r="I69" s="37" t="e">
        <f aca="false">NA()</f>
        <v>#N/A</v>
      </c>
      <c r="J69" s="37" t="e">
        <f aca="false">NA()</f>
        <v>#N/A</v>
      </c>
    </row>
    <row r="70" customFormat="false" ht="12" hidden="false" customHeight="true" outlineLevel="0" collapsed="false">
      <c r="I70" s="37" t="e">
        <f aca="false">NA()</f>
        <v>#N/A</v>
      </c>
      <c r="J70" s="37" t="e">
        <f aca="false">NA()</f>
        <v>#N/A</v>
      </c>
    </row>
    <row r="71" customFormat="false" ht="12" hidden="false" customHeight="true" outlineLevel="0" collapsed="false">
      <c r="I71" s="37" t="e">
        <f aca="false">NA()</f>
        <v>#N/A</v>
      </c>
      <c r="J71" s="37" t="e">
        <f aca="false">NA()</f>
        <v>#N/A</v>
      </c>
    </row>
    <row r="72" customFormat="false" ht="12" hidden="false" customHeight="true" outlineLevel="0" collapsed="false">
      <c r="I72" s="37" t="e">
        <f aca="false">NA()</f>
        <v>#N/A</v>
      </c>
      <c r="J72" s="37" t="e">
        <f aca="false">NA()</f>
        <v>#N/A</v>
      </c>
    </row>
    <row r="73" customFormat="false" ht="12" hidden="false" customHeight="true" outlineLevel="0" collapsed="false">
      <c r="I73" s="37" t="e">
        <f aca="false">NA()</f>
        <v>#N/A</v>
      </c>
      <c r="J73" s="37" t="e">
        <f aca="false">NA()</f>
        <v>#N/A</v>
      </c>
    </row>
    <row r="74" customFormat="false" ht="12" hidden="false" customHeight="true" outlineLevel="0" collapsed="false">
      <c r="I74" s="37" t="e">
        <f aca="false">NA()</f>
        <v>#N/A</v>
      </c>
      <c r="J74" s="37" t="e">
        <f aca="false">NA()</f>
        <v>#N/A</v>
      </c>
    </row>
    <row r="75" customFormat="false" ht="12" hidden="false" customHeight="true" outlineLevel="0" collapsed="false">
      <c r="I75" s="37" t="e">
        <f aca="false">NA()</f>
        <v>#N/A</v>
      </c>
      <c r="J75" s="37" t="e">
        <f aca="false">NA()</f>
        <v>#N/A</v>
      </c>
    </row>
    <row r="76" customFormat="false" ht="12" hidden="false" customHeight="true" outlineLevel="0" collapsed="false">
      <c r="I76" s="37" t="e">
        <f aca="false">NA()</f>
        <v>#N/A</v>
      </c>
      <c r="J76" s="37" t="e">
        <f aca="false">NA()</f>
        <v>#N/A</v>
      </c>
    </row>
    <row r="77" customFormat="false" ht="12" hidden="false" customHeight="true" outlineLevel="0" collapsed="false">
      <c r="I77" s="37" t="e">
        <f aca="false">NA()</f>
        <v>#N/A</v>
      </c>
      <c r="J77" s="37" t="e">
        <f aca="false">NA()</f>
        <v>#N/A</v>
      </c>
    </row>
    <row r="65518" customFormat="false" ht="12.8" hidden="false" customHeight="true" outlineLevel="0" collapsed="false"/>
    <row r="65519" customFormat="false" ht="12.8" hidden="false" customHeight="true" outlineLevel="0" collapsed="false"/>
    <row r="65520" customFormat="false" ht="12.8" hidden="false" customHeight="true" outlineLevel="0" collapsed="false"/>
    <row r="65521" customFormat="false" ht="12.8" hidden="false" customHeight="true" outlineLevel="0" collapsed="false"/>
    <row r="65522" customFormat="false" ht="12.8" hidden="false" customHeight="true" outlineLevel="0" collapsed="false"/>
    <row r="65523" customFormat="false" ht="12.8" hidden="false" customHeight="true" outlineLevel="0" collapsed="false"/>
    <row r="65524" customFormat="false" ht="12.8" hidden="false" customHeight="true" outlineLevel="0" collapsed="false"/>
    <row r="65525" customFormat="false" ht="12.8" hidden="false" customHeight="true" outlineLevel="0" collapsed="false"/>
    <row r="65526" customFormat="false" ht="12.8" hidden="false" customHeight="true" outlineLevel="0" collapsed="false"/>
    <row r="65527" customFormat="false" ht="12.8" hidden="false" customHeight="true" outlineLevel="0" collapsed="false"/>
    <row r="65528" customFormat="false" ht="12.8" hidden="false" customHeight="true" outlineLevel="0" collapsed="false"/>
    <row r="65529" customFormat="false" ht="12.8" hidden="false" customHeight="true" outlineLevel="0" collapsed="false"/>
    <row r="65530" customFormat="false" ht="12.8" hidden="false" customHeight="true" outlineLevel="0" collapsed="false"/>
    <row r="65531" customFormat="false" ht="12.8" hidden="false" customHeight="true" outlineLevel="0" collapsed="false"/>
    <row r="65532" customFormat="false" ht="12.8" hidden="false" customHeight="true" outlineLevel="0" collapsed="false"/>
    <row r="65533" customFormat="false" ht="12.8" hidden="false" customHeight="true" outlineLevel="0" collapsed="false"/>
    <row r="65534" customFormat="false" ht="12.8" hidden="false" customHeight="true" outlineLevel="0" collapsed="false"/>
    <row r="65535" customFormat="false" ht="12.8" hidden="false" customHeight="true" outlineLevel="0" collapsed="false"/>
    <row r="6553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4:G54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D51" activeCellId="0" sqref="D51"/>
    </sheetView>
  </sheetViews>
  <sheetFormatPr defaultColWidth="10.5" defaultRowHeight="12" zeroHeight="false" outlineLevelRow="0" outlineLevelCol="0"/>
  <cols>
    <col collapsed="false" customWidth="true" hidden="false" outlineLevel="0" max="3" min="2" style="0" width="5.5"/>
    <col collapsed="false" customWidth="true" hidden="false" outlineLevel="0" max="4" min="4" style="0" width="7.5"/>
    <col collapsed="false" customWidth="true" hidden="false" outlineLevel="0" max="5" min="5" style="0" width="12.5"/>
    <col collapsed="false" customWidth="true" hidden="false" outlineLevel="0" max="6" min="6" style="0" width="17.49"/>
    <col collapsed="false" customWidth="true" hidden="false" outlineLevel="0" max="12" min="12" style="0" width="12.5"/>
    <col collapsed="false" customWidth="true" hidden="false" outlineLevel="0" max="19" min="19" style="0" width="12.5"/>
    <col collapsed="false" customWidth="true" hidden="false" outlineLevel="0" max="20" min="20" style="0" width="17.49"/>
  </cols>
  <sheetData>
    <row r="34" customFormat="false" ht="12" hidden="false" customHeight="true" outlineLevel="0" collapsed="false">
      <c r="B34" s="0" t="s">
        <v>513</v>
      </c>
      <c r="C34" s="0" t="s">
        <v>1241</v>
      </c>
      <c r="D34" s="0" t="s">
        <v>1242</v>
      </c>
      <c r="E34" s="0" t="s">
        <v>1243</v>
      </c>
      <c r="F34" s="0" t="s">
        <v>1244</v>
      </c>
      <c r="G34" s="0" t="s">
        <v>1245</v>
      </c>
    </row>
    <row r="35" customFormat="false" ht="12" hidden="false" customHeight="true" outlineLevel="0" collapsed="false">
      <c r="B35" s="0" t="n">
        <v>2010</v>
      </c>
      <c r="C35" s="0" t="n">
        <f aca="false">'Leidos 2010'!B61</f>
        <v>56</v>
      </c>
      <c r="D35" s="0" t="n">
        <f aca="false">'Leidos 2010'!A61</f>
        <v>20051</v>
      </c>
      <c r="E35" s="0" t="n">
        <f aca="false">'Leidos 2010'!C61</f>
        <v>358</v>
      </c>
      <c r="F35" s="58" t="n">
        <f aca="false">HARMEAN(D35)</f>
        <v>20051</v>
      </c>
      <c r="G35" s="58" t="n">
        <f aca="false">D35/365</f>
        <v>54.9342465753425</v>
      </c>
    </row>
    <row r="36" customFormat="false" ht="12" hidden="false" customHeight="true" outlineLevel="0" collapsed="false">
      <c r="B36" s="0" t="n">
        <v>2011</v>
      </c>
      <c r="C36" s="0" t="n">
        <f aca="false">'Leidos 2011'!A53</f>
        <v>48</v>
      </c>
      <c r="D36" s="58" t="n">
        <f aca="false">'Leidos 2011'!F50</f>
        <v>18918</v>
      </c>
      <c r="E36" s="0" t="n">
        <f aca="false">'Leidos 2011'!B53</f>
        <v>394</v>
      </c>
      <c r="F36" s="58" t="n">
        <f aca="false">HARMEAN(D35:D36)</f>
        <v>19468.0293566681</v>
      </c>
      <c r="G36" s="58" t="n">
        <f aca="false">D36/365</f>
        <v>51.8301369863014</v>
      </c>
    </row>
    <row r="37" customFormat="false" ht="12" hidden="false" customHeight="true" outlineLevel="0" collapsed="false">
      <c r="B37" s="0" t="n">
        <v>2012</v>
      </c>
      <c r="C37" s="0" t="n">
        <f aca="false">'Leidos 2012'!A58</f>
        <v>52</v>
      </c>
      <c r="D37" s="58" t="n">
        <f aca="false">'Leidos 2012'!F55</f>
        <v>19868</v>
      </c>
      <c r="E37" s="0" t="n">
        <f aca="false">'Leidos 2012'!B58</f>
        <v>382</v>
      </c>
      <c r="F37" s="58" t="n">
        <f aca="false">HARMEAN(D35:D37)</f>
        <v>19599.5514897189</v>
      </c>
      <c r="G37" s="58" t="n">
        <f aca="false">D37/365</f>
        <v>54.4328767123288</v>
      </c>
    </row>
    <row r="38" customFormat="false" ht="12" hidden="false" customHeight="true" outlineLevel="0" collapsed="false">
      <c r="B38" s="0" t="n">
        <v>2013</v>
      </c>
      <c r="C38" s="0" t="n">
        <f aca="false">'Leídos 2013'!A44</f>
        <v>27</v>
      </c>
      <c r="D38" s="58" t="n">
        <f aca="false">'Leídos 2013'!F41</f>
        <v>17259</v>
      </c>
      <c r="E38" s="0" t="n">
        <f aca="false">'Leídos 2013'!B44</f>
        <v>639</v>
      </c>
      <c r="F38" s="58" t="n">
        <f aca="false">HARMEAN(D35:D38)</f>
        <v>18956.8507920859</v>
      </c>
      <c r="G38" s="58" t="n">
        <f aca="false">D38/365</f>
        <v>47.2849315068493</v>
      </c>
    </row>
    <row r="39" customFormat="false" ht="12" hidden="false" customHeight="true" outlineLevel="0" collapsed="false">
      <c r="B39" s="0" t="n">
        <v>2014</v>
      </c>
      <c r="C39" s="0" t="n">
        <f aca="false">'Leídos 2014'!A29</f>
        <v>12</v>
      </c>
      <c r="D39" s="58" t="n">
        <f aca="false">'Leídos 2014'!F26</f>
        <v>8907</v>
      </c>
      <c r="E39" s="0" t="n">
        <f aca="false">'Leídos 2014'!B29</f>
        <v>742</v>
      </c>
      <c r="F39" s="58" t="n">
        <f aca="false">HARMEAN(D35:D39)</f>
        <v>15466.6237568602</v>
      </c>
      <c r="G39" s="58" t="n">
        <f aca="false">D39/365</f>
        <v>24.4027397260274</v>
      </c>
    </row>
    <row r="40" customFormat="false" ht="12" hidden="false" customHeight="true" outlineLevel="0" collapsed="false">
      <c r="B40" s="0" t="n">
        <v>2015</v>
      </c>
      <c r="C40" s="0" t="n">
        <f aca="false">'Leídos 2015'!A47</f>
        <v>27</v>
      </c>
      <c r="D40" s="58" t="n">
        <f aca="false">'Leídos 2015'!F44</f>
        <v>11891</v>
      </c>
      <c r="E40" s="0" t="n">
        <f aca="false">'Leídos 2015'!B47</f>
        <v>440</v>
      </c>
      <c r="F40" s="58" t="n">
        <f aca="false">HARMEAN(D35:D40)</f>
        <v>14728.481354569</v>
      </c>
      <c r="G40" s="58" t="n">
        <f aca="false">D40/365</f>
        <v>32.5780821917808</v>
      </c>
    </row>
    <row r="41" customFormat="false" ht="12" hidden="false" customHeight="true" outlineLevel="0" collapsed="false">
      <c r="B41" s="0" t="n">
        <v>2016</v>
      </c>
      <c r="C41" s="0" t="n">
        <f aca="false">'Leídos 2016'!A53</f>
        <v>35</v>
      </c>
      <c r="D41" s="58" t="n">
        <f aca="false">'Leídos 2016'!F50</f>
        <v>13222</v>
      </c>
      <c r="E41" s="0" t="n">
        <f aca="false">'Leídos 2016'!B53</f>
        <v>378</v>
      </c>
      <c r="F41" s="58" t="n">
        <f aca="false">HARMEAN(D35:D41)</f>
        <v>14492.5886372211</v>
      </c>
      <c r="G41" s="58" t="n">
        <f aca="false">D41/365</f>
        <v>36.2246575342466</v>
      </c>
    </row>
    <row r="42" customFormat="false" ht="12" hidden="false" customHeight="true" outlineLevel="0" collapsed="false">
      <c r="B42" s="0" t="n">
        <v>2017</v>
      </c>
      <c r="C42" s="0" t="n">
        <f aca="false">'Leídos 2017'!A45</f>
        <v>26</v>
      </c>
      <c r="D42" s="58" t="n">
        <f aca="false">'Leídos 2017'!F42</f>
        <v>12899</v>
      </c>
      <c r="E42" s="0" t="n">
        <f aca="false">'Leídos 2017'!B45</f>
        <v>496</v>
      </c>
      <c r="F42" s="58" t="n">
        <f aca="false">HARMEAN(D35:D42)</f>
        <v>14272.1840484169</v>
      </c>
      <c r="G42" s="58" t="n">
        <f aca="false">D42/365</f>
        <v>35.3397260273973</v>
      </c>
    </row>
    <row r="43" customFormat="false" ht="12" hidden="false" customHeight="true" outlineLevel="0" collapsed="false">
      <c r="B43" s="0" t="n">
        <v>2018</v>
      </c>
      <c r="C43" s="0" t="n">
        <f aca="false">'Leídos 2018'!A47</f>
        <v>29</v>
      </c>
      <c r="D43" s="58" t="n">
        <f aca="false">'Leídos 2018'!F44</f>
        <v>11755</v>
      </c>
      <c r="E43" s="0" t="n">
        <f aca="false">'Leídos 2018'!B47</f>
        <v>405</v>
      </c>
      <c r="F43" s="58" t="n">
        <f aca="false">HARMEAN(D35:D43)</f>
        <v>13940.4973195565</v>
      </c>
      <c r="G43" s="58" t="n">
        <f aca="false">D43/365</f>
        <v>32.2054794520548</v>
      </c>
    </row>
    <row r="44" customFormat="false" ht="12" hidden="false" customHeight="true" outlineLevel="0" collapsed="false">
      <c r="B44" s="0" t="n">
        <v>2019</v>
      </c>
      <c r="C44" s="0" t="n">
        <f aca="false">'Leídos 2019'!A30</f>
        <v>22</v>
      </c>
      <c r="D44" s="58" t="n">
        <f aca="false">'Leídos 2019'!F27</f>
        <v>10870</v>
      </c>
      <c r="E44" s="0" t="n">
        <f aca="false">'Leídos 2019'!B30</f>
        <v>494</v>
      </c>
      <c r="F44" s="58" t="n">
        <f aca="false">HARMEAN(D35:D44)</f>
        <v>13557.5316830111</v>
      </c>
      <c r="G44" s="58" t="n">
        <f aca="false">D44/365</f>
        <v>29.7808219178082</v>
      </c>
    </row>
    <row r="45" customFormat="false" ht="12" hidden="false" customHeight="true" outlineLevel="0" collapsed="false">
      <c r="B45" s="0" t="n">
        <v>2020</v>
      </c>
      <c r="C45" s="0" t="n">
        <f aca="false">'Leídos 2020'!A48</f>
        <v>40</v>
      </c>
      <c r="D45" s="58" t="n">
        <f aca="false">'Leídos 2020'!F45</f>
        <v>14579</v>
      </c>
      <c r="E45" s="0" t="n">
        <f aca="false">'Leídos 2020'!B48</f>
        <v>364</v>
      </c>
      <c r="F45" s="58" t="n">
        <f aca="false">HARMEAN(D35:D45)</f>
        <v>13644.4397695343</v>
      </c>
      <c r="G45" s="58" t="n">
        <f aca="false">D45/365</f>
        <v>39.9424657534247</v>
      </c>
    </row>
    <row r="46" customFormat="false" ht="12" hidden="false" customHeight="true" outlineLevel="0" collapsed="false">
      <c r="B46" s="0" t="n">
        <v>2021</v>
      </c>
      <c r="C46" s="0" t="n">
        <f aca="false">'Leídos 2021'!A34</f>
        <v>24</v>
      </c>
      <c r="D46" s="58" t="n">
        <f aca="false">'Leídos 2021'!F31</f>
        <v>7908</v>
      </c>
      <c r="E46" s="0" t="n">
        <f aca="false">'Leídos 2021'!B34</f>
        <v>330</v>
      </c>
      <c r="F46" s="58" t="n">
        <f aca="false">HARMEAN(D35:D46)</f>
        <v>12866.6537285099</v>
      </c>
      <c r="G46" s="58" t="n">
        <f aca="false">D46/365</f>
        <v>21.6657534246575</v>
      </c>
    </row>
    <row r="47" customFormat="false" ht="12" hidden="false" customHeight="true" outlineLevel="0" collapsed="false">
      <c r="B47" s="0" t="n">
        <v>2022</v>
      </c>
      <c r="C47" s="0" t="n">
        <f aca="false">'Leídos 2022'!A47</f>
        <v>35</v>
      </c>
      <c r="D47" s="58" t="n">
        <f aca="false">'Leídos 2022'!F44</f>
        <v>13862</v>
      </c>
      <c r="E47" s="0" t="n">
        <f aca="false">'Leídos 2022'!B47</f>
        <v>396</v>
      </c>
      <c r="F47" s="58" t="n">
        <f aca="false">HARMEAN(D35:D47)</f>
        <v>12938.1158628684</v>
      </c>
      <c r="G47" s="58" t="n">
        <f aca="false">D47/365</f>
        <v>37.9780821917808</v>
      </c>
    </row>
    <row r="48" customFormat="false" ht="12" hidden="false" customHeight="true" outlineLevel="0" collapsed="false">
      <c r="B48" s="0" t="n">
        <v>2023</v>
      </c>
      <c r="C48" s="0" t="n">
        <f aca="false">'Leídos 2023'!A52</f>
        <v>47</v>
      </c>
      <c r="D48" s="58" t="n">
        <f aca="false">'Leídos 2023'!F49</f>
        <v>17489</v>
      </c>
      <c r="E48" s="0" t="n">
        <f aca="false">'Leídos 2023'!B52</f>
        <v>372</v>
      </c>
      <c r="F48" s="58" t="n">
        <f aca="false">HARMEAN(D35:D48)</f>
        <v>13183.147336077</v>
      </c>
      <c r="G48" s="58" t="n">
        <f aca="false">D48/365</f>
        <v>47.9150684931507</v>
      </c>
    </row>
    <row r="49" customFormat="false" ht="12" hidden="false" customHeight="true" outlineLevel="0" collapsed="false">
      <c r="B49" s="0" t="n">
        <v>2024</v>
      </c>
      <c r="C49" s="0" t="n">
        <f aca="false">'Leídos 2024'!A75</f>
        <v>58</v>
      </c>
      <c r="D49" s="58" t="n">
        <f aca="false">'Leídos 2024'!F72</f>
        <v>23457</v>
      </c>
      <c r="E49" s="0" t="n">
        <f aca="false">'Leídos 2024'!B75</f>
        <v>404</v>
      </c>
      <c r="F49" s="58" t="n">
        <f aca="false">HARMEAN(D35:D49)</f>
        <v>13579.6613545875</v>
      </c>
      <c r="G49" s="58" t="n">
        <f aca="false">D49/365</f>
        <v>64.2657534246575</v>
      </c>
    </row>
    <row r="50" customFormat="false" ht="14.65" hidden="false" customHeight="true" outlineLevel="0" collapsed="false">
      <c r="B50" s="0" t="n">
        <v>2025</v>
      </c>
      <c r="C50" s="0" t="n">
        <f aca="false">'Leídos 2025'!A61</f>
        <v>56</v>
      </c>
      <c r="D50" s="58" t="n">
        <f aca="false">'Leídos 2025'!F58</f>
        <v>22196</v>
      </c>
      <c r="E50" s="58" t="n">
        <f aca="false">'Leídos 2025'!B61</f>
        <v>396</v>
      </c>
      <c r="F50" s="58" t="n">
        <f aca="false">HARMEAN(D36:D50)</f>
        <v>13639.1730418517</v>
      </c>
      <c r="G50" s="58" t="n">
        <f aca="false">D50/365</f>
        <v>60.8109589041096</v>
      </c>
    </row>
    <row r="51" customFormat="false" ht="12" hidden="false" customHeight="true" outlineLevel="0" collapsed="false">
      <c r="B51" s="0" t="n">
        <v>2026</v>
      </c>
      <c r="C51" s="0" t="n">
        <f aca="false">'Leídos 2026'!A56</f>
        <v>32</v>
      </c>
      <c r="D51" s="58" t="n">
        <f aca="false">'Leídos 2026'!F53</f>
        <v>13163</v>
      </c>
      <c r="E51" s="58" t="n">
        <f aca="false">'Leídos 2026'!B56</f>
        <v>411</v>
      </c>
      <c r="F51" s="58" t="n">
        <f aca="false">HARMEAN(D35:D51)</f>
        <v>13870.5673987513</v>
      </c>
      <c r="G51" s="58" t="n">
        <f aca="false">D51/365</f>
        <v>36.0630136986301</v>
      </c>
    </row>
    <row r="53" customFormat="false" ht="12" hidden="false" customHeight="true" outlineLevel="0" collapsed="false">
      <c r="B53" s="0" t="s">
        <v>1246</v>
      </c>
      <c r="C53" s="59" t="n">
        <f aca="false">TRIMMEAN(C34:C51,10%)</f>
        <v>36.8235294117647</v>
      </c>
      <c r="D53" s="58" t="n">
        <f aca="false">TRIMMEAN(D34:D51,10%)</f>
        <v>15193.7647058824</v>
      </c>
    </row>
    <row r="54" customFormat="false" ht="12" hidden="false" customHeight="true" outlineLevel="0" collapsed="false">
      <c r="B54" s="0" t="s">
        <v>1247</v>
      </c>
      <c r="C54" s="0" t="n">
        <f aca="false">SUM(C35:C52)</f>
        <v>626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"/>
  <sheetViews>
    <sheetView showFormulas="false" showGridLines="true" showRowColHeaders="true" showZeros="true" rightToLeft="false" tabSelected="false" showOutlineSymbols="true" defaultGridColor="true" view="normal" topLeftCell="A79" colorId="64" zoomScale="110" zoomScaleNormal="110" zoomScalePageLayoutView="100" workbookViewId="0">
      <selection pane="topLeft" activeCell="A102" activeCellId="0" sqref="A102"/>
    </sheetView>
  </sheetViews>
  <sheetFormatPr defaultColWidth="8.5" defaultRowHeight="12" zeroHeight="false" outlineLevelRow="0" outlineLevelCol="0"/>
  <cols>
    <col collapsed="false" customWidth="true" hidden="false" outlineLevel="0" max="1" min="1" style="0" width="50.5"/>
    <col collapsed="false" customWidth="true" hidden="false" outlineLevel="0" max="2" min="2" style="0" width="27.49"/>
    <col collapsed="false" customWidth="true" hidden="false" outlineLevel="0" max="3" min="3" style="0" width="12.5"/>
    <col collapsed="false" customWidth="true" hidden="false" outlineLevel="0" max="7" min="7" style="0" width="10.5"/>
    <col collapsed="false" customWidth="true" hidden="false" outlineLevel="0" max="8" min="8" style="0" width="22.49"/>
  </cols>
  <sheetData>
    <row r="1" s="6" customFormat="true" ht="12.75" hidden="false" customHeight="true" outlineLevel="0" collapsed="false">
      <c r="A1" s="10" t="s">
        <v>0</v>
      </c>
      <c r="B1" s="10" t="s">
        <v>1</v>
      </c>
      <c r="C1" s="10" t="s">
        <v>2</v>
      </c>
      <c r="D1" s="11" t="s">
        <v>3</v>
      </c>
      <c r="E1" s="12" t="s">
        <v>4</v>
      </c>
      <c r="F1" s="11" t="s">
        <v>5</v>
      </c>
      <c r="G1" s="12" t="s">
        <v>6</v>
      </c>
      <c r="H1" s="12"/>
    </row>
    <row r="2" customFormat="false" ht="12" hidden="false" customHeight="true" outlineLevel="0" collapsed="false">
      <c r="A2" s="6" t="s">
        <v>1248</v>
      </c>
      <c r="B2" s="0" t="s">
        <v>1249</v>
      </c>
      <c r="C2" s="0" t="s">
        <v>189</v>
      </c>
      <c r="F2" s="0" t="n">
        <v>288</v>
      </c>
      <c r="G2" s="0" t="s">
        <v>10</v>
      </c>
    </row>
    <row r="3" customFormat="false" ht="12" hidden="false" customHeight="true" outlineLevel="0" collapsed="false">
      <c r="A3" s="6" t="s">
        <v>1250</v>
      </c>
      <c r="B3" s="0" t="s">
        <v>1249</v>
      </c>
      <c r="C3" s="0" t="s">
        <v>189</v>
      </c>
      <c r="F3" s="0" t="n">
        <v>442</v>
      </c>
      <c r="G3" s="0" t="s">
        <v>10</v>
      </c>
    </row>
    <row r="4" customFormat="false" ht="12" hidden="false" customHeight="true" outlineLevel="0" collapsed="false">
      <c r="A4" s="0" t="s">
        <v>1251</v>
      </c>
      <c r="B4" s="0" t="s">
        <v>1252</v>
      </c>
      <c r="C4" s="0" t="s">
        <v>189</v>
      </c>
      <c r="F4" s="0" t="n">
        <v>336</v>
      </c>
      <c r="G4" s="0" t="s">
        <v>58</v>
      </c>
    </row>
    <row r="5" customFormat="false" ht="12" hidden="false" customHeight="true" outlineLevel="0" collapsed="false">
      <c r="A5" s="0" t="s">
        <v>1253</v>
      </c>
      <c r="B5" s="0" t="s">
        <v>1254</v>
      </c>
      <c r="C5" s="0" t="s">
        <v>189</v>
      </c>
    </row>
    <row r="6" customFormat="false" ht="12" hidden="false" customHeight="true" outlineLevel="0" collapsed="false">
      <c r="A6" s="6" t="s">
        <v>1255</v>
      </c>
      <c r="B6" s="16" t="s">
        <v>1256</v>
      </c>
      <c r="C6" s="0" t="s">
        <v>189</v>
      </c>
      <c r="G6" s="0" t="s">
        <v>10</v>
      </c>
    </row>
    <row r="7" customFormat="false" ht="12" hidden="false" customHeight="true" outlineLevel="0" collapsed="false">
      <c r="A7" s="6" t="s">
        <v>1257</v>
      </c>
      <c r="B7" s="0" t="s">
        <v>1258</v>
      </c>
      <c r="C7" s="0" t="s">
        <v>189</v>
      </c>
      <c r="G7" s="0" t="s">
        <v>10</v>
      </c>
    </row>
    <row r="8" customFormat="false" ht="12" hidden="false" customHeight="true" outlineLevel="0" collapsed="false">
      <c r="A8" s="6" t="s">
        <v>1259</v>
      </c>
      <c r="B8" s="0" t="s">
        <v>1260</v>
      </c>
      <c r="C8" s="0" t="s">
        <v>189</v>
      </c>
      <c r="F8" s="0" t="n">
        <v>144</v>
      </c>
      <c r="G8" s="0" t="s">
        <v>10</v>
      </c>
    </row>
    <row r="9" customFormat="false" ht="12" hidden="false" customHeight="true" outlineLevel="0" collapsed="false">
      <c r="A9" s="6" t="s">
        <v>1261</v>
      </c>
      <c r="B9" s="16" t="s">
        <v>1262</v>
      </c>
      <c r="C9" s="0" t="s">
        <v>189</v>
      </c>
      <c r="F9" s="0" t="n">
        <v>220</v>
      </c>
      <c r="G9" s="0" t="s">
        <v>10</v>
      </c>
    </row>
    <row r="10" customFormat="false" ht="12" hidden="false" customHeight="true" outlineLevel="0" collapsed="false">
      <c r="A10" s="6" t="s">
        <v>1263</v>
      </c>
      <c r="B10" s="16" t="s">
        <v>112</v>
      </c>
      <c r="C10" s="0" t="s">
        <v>189</v>
      </c>
      <c r="F10" s="0" t="n">
        <v>320</v>
      </c>
      <c r="G10" s="0" t="s">
        <v>58</v>
      </c>
    </row>
    <row r="11" customFormat="false" ht="12" hidden="false" customHeight="true" outlineLevel="0" collapsed="false">
      <c r="A11" s="6" t="s">
        <v>1264</v>
      </c>
      <c r="B11" s="0" t="s">
        <v>112</v>
      </c>
      <c r="C11" s="0" t="s">
        <v>189</v>
      </c>
      <c r="F11" s="0" t="n">
        <v>112</v>
      </c>
      <c r="G11" s="0" t="s">
        <v>58</v>
      </c>
    </row>
    <row r="12" customFormat="false" ht="12" hidden="false" customHeight="true" outlineLevel="0" collapsed="false">
      <c r="A12" s="0" t="s">
        <v>388</v>
      </c>
      <c r="B12" s="0" t="s">
        <v>1265</v>
      </c>
      <c r="C12" s="0" t="s">
        <v>189</v>
      </c>
      <c r="G12" s="0" t="s">
        <v>390</v>
      </c>
    </row>
    <row r="13" customFormat="false" ht="12" hidden="false" customHeight="true" outlineLevel="0" collapsed="false">
      <c r="A13" s="6" t="s">
        <v>1162</v>
      </c>
      <c r="B13" s="0" t="s">
        <v>1163</v>
      </c>
      <c r="C13" s="0" t="s">
        <v>189</v>
      </c>
      <c r="F13" s="0" t="n">
        <v>248</v>
      </c>
      <c r="G13" s="0" t="s">
        <v>10</v>
      </c>
    </row>
    <row r="14" customFormat="false" ht="12" hidden="false" customHeight="true" outlineLevel="0" collapsed="false">
      <c r="A14" s="6" t="s">
        <v>1167</v>
      </c>
      <c r="B14" s="0" t="s">
        <v>1163</v>
      </c>
      <c r="C14" s="0" t="s">
        <v>189</v>
      </c>
      <c r="F14" s="0" t="n">
        <v>267</v>
      </c>
      <c r="G14" s="0" t="s">
        <v>10</v>
      </c>
    </row>
    <row r="15" customFormat="false" ht="12" hidden="false" customHeight="true" outlineLevel="0" collapsed="false">
      <c r="A15" s="6" t="s">
        <v>1165</v>
      </c>
      <c r="B15" s="0" t="s">
        <v>1163</v>
      </c>
      <c r="C15" s="0" t="s">
        <v>189</v>
      </c>
      <c r="F15" s="0" t="n">
        <v>264</v>
      </c>
      <c r="G15" s="0" t="s">
        <v>10</v>
      </c>
    </row>
    <row r="16" customFormat="false" ht="12" hidden="false" customHeight="true" outlineLevel="0" collapsed="false">
      <c r="A16" s="6" t="s">
        <v>1266</v>
      </c>
      <c r="B16" s="0" t="s">
        <v>1267</v>
      </c>
      <c r="C16" s="0" t="s">
        <v>189</v>
      </c>
      <c r="G16" s="0" t="s">
        <v>10</v>
      </c>
    </row>
    <row r="17" customFormat="false" ht="12" hidden="false" customHeight="true" outlineLevel="0" collapsed="false">
      <c r="A17" s="6" t="s">
        <v>1268</v>
      </c>
      <c r="B17" s="16" t="s">
        <v>601</v>
      </c>
      <c r="C17" s="0" t="s">
        <v>189</v>
      </c>
      <c r="G17" s="0" t="s">
        <v>58</v>
      </c>
    </row>
    <row r="18" customFormat="false" ht="12" hidden="false" customHeight="true" outlineLevel="0" collapsed="false">
      <c r="A18" s="0" t="s">
        <v>1269</v>
      </c>
      <c r="B18" s="0" t="s">
        <v>1270</v>
      </c>
      <c r="C18" s="0" t="s">
        <v>189</v>
      </c>
      <c r="G18" s="0" t="s">
        <v>202</v>
      </c>
    </row>
    <row r="19" customFormat="false" ht="12" hidden="false" customHeight="true" outlineLevel="0" collapsed="false">
      <c r="A19" s="6" t="s">
        <v>1271</v>
      </c>
      <c r="B19" s="0" t="s">
        <v>1272</v>
      </c>
      <c r="C19" s="0" t="s">
        <v>189</v>
      </c>
      <c r="F19" s="0" t="n">
        <v>208</v>
      </c>
      <c r="G19" s="0" t="s">
        <v>10</v>
      </c>
    </row>
    <row r="20" customFormat="false" ht="12" hidden="false" customHeight="true" outlineLevel="0" collapsed="false">
      <c r="A20" s="0" t="s">
        <v>1273</v>
      </c>
      <c r="B20" s="0" t="s">
        <v>133</v>
      </c>
      <c r="C20" s="0" t="s">
        <v>1274</v>
      </c>
      <c r="F20" s="0" t="n">
        <v>380</v>
      </c>
      <c r="G20" s="0" t="s">
        <v>10</v>
      </c>
    </row>
    <row r="21" customFormat="false" ht="12" hidden="false" customHeight="true" outlineLevel="0" collapsed="false">
      <c r="A21" s="0" t="s">
        <v>252</v>
      </c>
      <c r="B21" s="0" t="s">
        <v>253</v>
      </c>
      <c r="C21" s="0" t="s">
        <v>189</v>
      </c>
      <c r="F21" s="0" t="n">
        <v>384</v>
      </c>
      <c r="G21" s="0" t="s">
        <v>24</v>
      </c>
    </row>
    <row r="22" customFormat="false" ht="12" hidden="false" customHeight="true" outlineLevel="0" collapsed="false">
      <c r="A22" s="6" t="s">
        <v>525</v>
      </c>
      <c r="B22" s="0" t="s">
        <v>526</v>
      </c>
      <c r="C22" s="0" t="s">
        <v>189</v>
      </c>
      <c r="G22" s="0" t="s">
        <v>10</v>
      </c>
    </row>
    <row r="23" customFormat="false" ht="12" hidden="false" customHeight="true" outlineLevel="0" collapsed="false">
      <c r="A23" s="0" t="s">
        <v>1275</v>
      </c>
      <c r="B23" s="0" t="s">
        <v>1276</v>
      </c>
      <c r="C23" s="0" t="s">
        <v>189</v>
      </c>
      <c r="G23" s="0" t="s">
        <v>58</v>
      </c>
    </row>
    <row r="24" customFormat="false" ht="12" hidden="false" customHeight="true" outlineLevel="0" collapsed="false">
      <c r="A24" s="6" t="s">
        <v>1277</v>
      </c>
      <c r="B24" s="0" t="s">
        <v>1147</v>
      </c>
      <c r="C24" s="0" t="s">
        <v>189</v>
      </c>
      <c r="G24" s="0" t="s">
        <v>10</v>
      </c>
    </row>
    <row r="25" customFormat="false" ht="12" hidden="false" customHeight="true" outlineLevel="0" collapsed="false">
      <c r="A25" s="0" t="s">
        <v>1278</v>
      </c>
      <c r="B25" s="0" t="s">
        <v>69</v>
      </c>
      <c r="C25" s="0" t="s">
        <v>189</v>
      </c>
      <c r="F25" s="0" t="n">
        <v>320</v>
      </c>
      <c r="G25" s="0" t="s">
        <v>10</v>
      </c>
    </row>
    <row r="26" customFormat="false" ht="12" hidden="false" customHeight="true" outlineLevel="0" collapsed="false">
      <c r="A26" s="6" t="s">
        <v>1279</v>
      </c>
      <c r="B26" s="0" t="s">
        <v>174</v>
      </c>
      <c r="C26" s="0" t="s">
        <v>189</v>
      </c>
      <c r="F26" s="0" t="n">
        <v>272</v>
      </c>
      <c r="G26" s="0" t="s">
        <v>10</v>
      </c>
    </row>
    <row r="27" customFormat="false" ht="12" hidden="false" customHeight="true" outlineLevel="0" collapsed="false">
      <c r="A27" s="6" t="s">
        <v>1280</v>
      </c>
      <c r="B27" s="0" t="s">
        <v>1281</v>
      </c>
      <c r="C27" s="0" t="s">
        <v>189</v>
      </c>
      <c r="G27" s="0" t="s">
        <v>10</v>
      </c>
    </row>
    <row r="28" customFormat="false" ht="12" hidden="false" customHeight="true" outlineLevel="0" collapsed="false">
      <c r="A28" s="6" t="s">
        <v>1282</v>
      </c>
      <c r="B28" s="0" t="s">
        <v>1283</v>
      </c>
      <c r="C28" s="0" t="s">
        <v>189</v>
      </c>
      <c r="G28" s="0" t="s">
        <v>10</v>
      </c>
    </row>
    <row r="29" customFormat="false" ht="12" hidden="false" customHeight="true" outlineLevel="0" collapsed="false">
      <c r="A29" s="6" t="s">
        <v>1284</v>
      </c>
      <c r="B29" s="0" t="s">
        <v>1285</v>
      </c>
      <c r="C29" s="0" t="s">
        <v>1286</v>
      </c>
      <c r="F29" s="0" t="n">
        <v>271</v>
      </c>
      <c r="G29" s="16" t="s">
        <v>10</v>
      </c>
    </row>
    <row r="30" customFormat="false" ht="12" hidden="false" customHeight="true" outlineLevel="0" collapsed="false">
      <c r="A30" s="0" t="s">
        <v>532</v>
      </c>
      <c r="B30" s="0" t="s">
        <v>533</v>
      </c>
      <c r="C30" s="0" t="s">
        <v>189</v>
      </c>
      <c r="G30" s="0" t="s">
        <v>58</v>
      </c>
    </row>
    <row r="31" customFormat="false" ht="12" hidden="false" customHeight="true" outlineLevel="0" collapsed="false">
      <c r="A31" s="6" t="s">
        <v>1287</v>
      </c>
      <c r="B31" s="16" t="s">
        <v>1288</v>
      </c>
      <c r="C31" s="16" t="s">
        <v>1289</v>
      </c>
      <c r="D31" s="16"/>
      <c r="E31" s="16"/>
      <c r="F31" s="16" t="n">
        <v>295</v>
      </c>
      <c r="G31" s="16" t="s">
        <v>24</v>
      </c>
      <c r="H31" s="16"/>
    </row>
    <row r="32" customFormat="false" ht="12" hidden="false" customHeight="true" outlineLevel="0" collapsed="false">
      <c r="A32" s="0" t="s">
        <v>1123</v>
      </c>
      <c r="B32" s="0" t="s">
        <v>888</v>
      </c>
      <c r="C32" s="0" t="s">
        <v>189</v>
      </c>
      <c r="G32" s="0" t="s">
        <v>10</v>
      </c>
    </row>
    <row r="33" customFormat="false" ht="12" hidden="false" customHeight="true" outlineLevel="0" collapsed="false">
      <c r="A33" s="6" t="s">
        <v>1290</v>
      </c>
      <c r="B33" s="16" t="s">
        <v>1131</v>
      </c>
      <c r="C33" s="0" t="s">
        <v>189</v>
      </c>
      <c r="G33" s="0" t="s">
        <v>10</v>
      </c>
    </row>
    <row r="34" customFormat="false" ht="12" hidden="false" customHeight="true" outlineLevel="0" collapsed="false">
      <c r="A34" s="6" t="s">
        <v>1130</v>
      </c>
      <c r="B34" s="16" t="s">
        <v>1131</v>
      </c>
      <c r="C34" s="0" t="s">
        <v>189</v>
      </c>
      <c r="G34" s="0" t="s">
        <v>10</v>
      </c>
    </row>
    <row r="35" customFormat="false" ht="12" hidden="false" customHeight="true" outlineLevel="0" collapsed="false">
      <c r="A35" s="6" t="s">
        <v>1291</v>
      </c>
      <c r="B35" s="0" t="s">
        <v>1292</v>
      </c>
      <c r="C35" s="0" t="s">
        <v>189</v>
      </c>
      <c r="G35" s="0" t="s">
        <v>10</v>
      </c>
    </row>
    <row r="36" customFormat="false" ht="12" hidden="false" customHeight="true" outlineLevel="0" collapsed="false">
      <c r="A36" s="0" t="s">
        <v>1293</v>
      </c>
      <c r="B36" s="0" t="s">
        <v>169</v>
      </c>
      <c r="C36" s="0" t="s">
        <v>189</v>
      </c>
      <c r="G36" s="0" t="s">
        <v>10</v>
      </c>
    </row>
    <row r="37" customFormat="false" ht="12" hidden="false" customHeight="true" outlineLevel="0" collapsed="false">
      <c r="A37" s="6" t="s">
        <v>1294</v>
      </c>
      <c r="B37" s="0" t="s">
        <v>139</v>
      </c>
      <c r="C37" s="0" t="s">
        <v>1295</v>
      </c>
      <c r="G37" s="16" t="s">
        <v>10</v>
      </c>
    </row>
    <row r="38" customFormat="false" ht="12" hidden="false" customHeight="true" outlineLevel="0" collapsed="false">
      <c r="A38" s="6" t="s">
        <v>1296</v>
      </c>
      <c r="B38" s="0" t="s">
        <v>1297</v>
      </c>
      <c r="C38" s="0" t="s">
        <v>189</v>
      </c>
      <c r="G38" s="16" t="s">
        <v>10</v>
      </c>
    </row>
    <row r="39" customFormat="false" ht="12" hidden="false" customHeight="true" outlineLevel="0" collapsed="false">
      <c r="A39" s="6" t="s">
        <v>1298</v>
      </c>
      <c r="B39" s="0" t="s">
        <v>1297</v>
      </c>
      <c r="C39" s="0" t="s">
        <v>1299</v>
      </c>
      <c r="F39" s="0" t="n">
        <v>1085</v>
      </c>
      <c r="G39" s="16" t="s">
        <v>10</v>
      </c>
    </row>
    <row r="40" customFormat="false" ht="12" hidden="false" customHeight="true" outlineLevel="0" collapsed="false">
      <c r="A40" s="6" t="s">
        <v>1300</v>
      </c>
      <c r="B40" s="0" t="s">
        <v>1301</v>
      </c>
      <c r="C40" s="0" t="s">
        <v>189</v>
      </c>
      <c r="G40" s="0" t="s">
        <v>58</v>
      </c>
    </row>
    <row r="41" customFormat="false" ht="12" hidden="false" customHeight="true" outlineLevel="0" collapsed="false">
      <c r="A41" s="6" t="s">
        <v>1302</v>
      </c>
      <c r="B41" s="0" t="s">
        <v>1303</v>
      </c>
      <c r="C41" s="0" t="s">
        <v>1304</v>
      </c>
      <c r="F41" s="0" t="n">
        <v>374</v>
      </c>
      <c r="G41" s="16" t="s">
        <v>10</v>
      </c>
    </row>
    <row r="42" customFormat="false" ht="12" hidden="false" customHeight="true" outlineLevel="0" collapsed="false">
      <c r="A42" s="0" t="s">
        <v>1305</v>
      </c>
      <c r="B42" s="0" t="s">
        <v>1306</v>
      </c>
      <c r="C42" s="0" t="s">
        <v>189</v>
      </c>
      <c r="G42" s="0" t="s">
        <v>10</v>
      </c>
    </row>
    <row r="43" customFormat="false" ht="12" hidden="false" customHeight="true" outlineLevel="0" collapsed="false">
      <c r="A43" s="6" t="s">
        <v>1307</v>
      </c>
      <c r="B43" s="0" t="s">
        <v>1308</v>
      </c>
      <c r="C43" s="0" t="s">
        <v>189</v>
      </c>
      <c r="G43" s="0" t="s">
        <v>10</v>
      </c>
    </row>
    <row r="44" customFormat="false" ht="12" hidden="false" customHeight="true" outlineLevel="0" collapsed="false">
      <c r="A44" s="0" t="s">
        <v>1309</v>
      </c>
      <c r="B44" s="0" t="s">
        <v>1310</v>
      </c>
      <c r="C44" s="0" t="s">
        <v>1311</v>
      </c>
      <c r="F44" s="0" t="n">
        <v>655</v>
      </c>
      <c r="G44" s="0" t="s">
        <v>10</v>
      </c>
    </row>
    <row r="45" customFormat="false" ht="12" hidden="false" customHeight="true" outlineLevel="0" collapsed="false">
      <c r="A45" s="0" t="s">
        <v>1312</v>
      </c>
      <c r="B45" s="0" t="s">
        <v>1313</v>
      </c>
      <c r="C45" s="0" t="s">
        <v>189</v>
      </c>
      <c r="G45" s="0" t="s">
        <v>10</v>
      </c>
    </row>
    <row r="46" customFormat="false" ht="12" hidden="false" customHeight="true" outlineLevel="0" collapsed="false">
      <c r="A46" s="6" t="s">
        <v>1314</v>
      </c>
      <c r="B46" s="0" t="s">
        <v>1315</v>
      </c>
      <c r="C46" s="0" t="s">
        <v>1316</v>
      </c>
      <c r="F46" s="0" t="n">
        <v>445</v>
      </c>
      <c r="G46" s="16" t="s">
        <v>10</v>
      </c>
    </row>
    <row r="47" customFormat="false" ht="12" hidden="false" customHeight="true" outlineLevel="0" collapsed="false">
      <c r="A47" s="6" t="s">
        <v>1317</v>
      </c>
      <c r="B47" s="0" t="s">
        <v>1318</v>
      </c>
      <c r="C47" s="0" t="s">
        <v>189</v>
      </c>
      <c r="G47" s="0" t="s">
        <v>10</v>
      </c>
    </row>
    <row r="48" customFormat="false" ht="12" hidden="false" customHeight="true" outlineLevel="0" collapsed="false">
      <c r="A48" s="0" t="s">
        <v>1319</v>
      </c>
      <c r="B48" s="0" t="s">
        <v>1320</v>
      </c>
      <c r="C48" s="0" t="s">
        <v>189</v>
      </c>
      <c r="G48" s="0" t="s">
        <v>10</v>
      </c>
    </row>
    <row r="49" customFormat="false" ht="12" hidden="false" customHeight="true" outlineLevel="0" collapsed="false">
      <c r="A49" s="6" t="s">
        <v>1321</v>
      </c>
      <c r="B49" s="0" t="s">
        <v>1322</v>
      </c>
      <c r="C49" s="0" t="s">
        <v>189</v>
      </c>
      <c r="G49" s="16" t="s">
        <v>10</v>
      </c>
    </row>
    <row r="50" customFormat="false" ht="12" hidden="false" customHeight="true" outlineLevel="0" collapsed="false">
      <c r="A50" s="6" t="s">
        <v>1323</v>
      </c>
      <c r="B50" s="16" t="s">
        <v>666</v>
      </c>
      <c r="C50" s="0" t="s">
        <v>189</v>
      </c>
      <c r="G50" s="0" t="s">
        <v>10</v>
      </c>
    </row>
    <row r="51" customFormat="false" ht="12" hidden="false" customHeight="true" outlineLevel="0" collapsed="false">
      <c r="A51" s="6" t="s">
        <v>1324</v>
      </c>
      <c r="B51" s="0" t="s">
        <v>84</v>
      </c>
      <c r="C51" s="0" t="s">
        <v>189</v>
      </c>
      <c r="G51" s="0" t="s">
        <v>10</v>
      </c>
    </row>
    <row r="52" customFormat="false" ht="12" hidden="false" customHeight="true" outlineLevel="0" collapsed="false">
      <c r="A52" s="6" t="s">
        <v>1325</v>
      </c>
      <c r="B52" s="0" t="s">
        <v>84</v>
      </c>
      <c r="C52" s="6" t="s">
        <v>1326</v>
      </c>
      <c r="F52" s="6" t="n">
        <v>249</v>
      </c>
      <c r="G52" s="0" t="s">
        <v>10</v>
      </c>
    </row>
    <row r="53" customFormat="false" ht="12" hidden="false" customHeight="true" outlineLevel="0" collapsed="false">
      <c r="A53" s="6" t="s">
        <v>1327</v>
      </c>
      <c r="B53" s="0" t="s">
        <v>84</v>
      </c>
      <c r="C53" s="0" t="s">
        <v>1328</v>
      </c>
      <c r="F53" s="0" t="n">
        <v>221</v>
      </c>
      <c r="G53" s="16" t="s">
        <v>10</v>
      </c>
    </row>
    <row r="54" customFormat="false" ht="12" hidden="false" customHeight="true" outlineLevel="0" collapsed="false">
      <c r="A54" s="0" t="s">
        <v>1329</v>
      </c>
      <c r="B54" s="0" t="s">
        <v>274</v>
      </c>
      <c r="C54" s="0" t="s">
        <v>189</v>
      </c>
      <c r="G54" s="0" t="s">
        <v>10</v>
      </c>
    </row>
    <row r="55" customFormat="false" ht="12" hidden="false" customHeight="true" outlineLevel="0" collapsed="false">
      <c r="A55" s="0" t="s">
        <v>1330</v>
      </c>
      <c r="B55" s="0" t="s">
        <v>1331</v>
      </c>
      <c r="C55" s="0" t="s">
        <v>189</v>
      </c>
      <c r="G55" s="0" t="s">
        <v>58</v>
      </c>
    </row>
    <row r="56" customFormat="false" ht="12" hidden="false" customHeight="true" outlineLevel="0" collapsed="false">
      <c r="A56" s="0" t="s">
        <v>1332</v>
      </c>
      <c r="B56" s="0" t="s">
        <v>1331</v>
      </c>
      <c r="C56" s="0" t="s">
        <v>189</v>
      </c>
      <c r="G56" s="0" t="s">
        <v>58</v>
      </c>
    </row>
    <row r="57" customFormat="false" ht="12" hidden="false" customHeight="true" outlineLevel="0" collapsed="false">
      <c r="A57" s="6" t="s">
        <v>1333</v>
      </c>
      <c r="B57" s="0" t="s">
        <v>1334</v>
      </c>
      <c r="C57" s="0" t="s">
        <v>189</v>
      </c>
      <c r="G57" s="0" t="s">
        <v>10</v>
      </c>
    </row>
    <row r="58" customFormat="false" ht="12" hidden="false" customHeight="true" outlineLevel="0" collapsed="false">
      <c r="A58" s="16" t="s">
        <v>1335</v>
      </c>
      <c r="B58" s="0" t="s">
        <v>455</v>
      </c>
      <c r="C58" s="0" t="s">
        <v>189</v>
      </c>
      <c r="G58" s="0" t="s">
        <v>10</v>
      </c>
    </row>
    <row r="59" customFormat="false" ht="12" hidden="false" customHeight="true" outlineLevel="0" collapsed="false">
      <c r="A59" s="0" t="s">
        <v>1336</v>
      </c>
      <c r="B59" s="16" t="s">
        <v>1337</v>
      </c>
      <c r="C59" s="0" t="s">
        <v>1338</v>
      </c>
      <c r="F59" s="0" t="n">
        <v>347</v>
      </c>
      <c r="G59" s="16" t="s">
        <v>24</v>
      </c>
    </row>
    <row r="60" customFormat="false" ht="12" hidden="false" customHeight="true" outlineLevel="0" collapsed="false">
      <c r="A60" s="6" t="s">
        <v>1339</v>
      </c>
      <c r="B60" s="16" t="s">
        <v>1340</v>
      </c>
      <c r="C60" s="0" t="s">
        <v>189</v>
      </c>
      <c r="G60" s="0" t="s">
        <v>10</v>
      </c>
    </row>
    <row r="61" customFormat="false" ht="12" hidden="false" customHeight="true" outlineLevel="0" collapsed="false">
      <c r="A61" s="6" t="s">
        <v>1341</v>
      </c>
      <c r="B61" s="0" t="s">
        <v>988</v>
      </c>
      <c r="C61" s="0" t="s">
        <v>189</v>
      </c>
      <c r="G61" s="16" t="s">
        <v>24</v>
      </c>
    </row>
    <row r="62" customFormat="false" ht="12" hidden="false" customHeight="true" outlineLevel="0" collapsed="false">
      <c r="A62" s="0" t="s">
        <v>1178</v>
      </c>
      <c r="B62" s="0" t="s">
        <v>9</v>
      </c>
      <c r="C62" s="0" t="s">
        <v>1342</v>
      </c>
      <c r="F62" s="0" t="n">
        <v>461</v>
      </c>
      <c r="G62" s="0" t="s">
        <v>10</v>
      </c>
    </row>
    <row r="63" customFormat="false" ht="12" hidden="false" customHeight="true" outlineLevel="0" collapsed="false">
      <c r="A63" s="6" t="s">
        <v>1343</v>
      </c>
      <c r="B63" s="0" t="s">
        <v>1344</v>
      </c>
      <c r="C63" s="0" t="s">
        <v>189</v>
      </c>
      <c r="G63" s="0" t="s">
        <v>10</v>
      </c>
    </row>
    <row r="64" customFormat="false" ht="12" hidden="false" customHeight="true" outlineLevel="0" collapsed="false">
      <c r="A64" s="6" t="s">
        <v>1345</v>
      </c>
      <c r="B64" s="0" t="s">
        <v>179</v>
      </c>
      <c r="C64" s="0" t="s">
        <v>189</v>
      </c>
      <c r="G64" s="0" t="s">
        <v>10</v>
      </c>
    </row>
    <row r="65" customFormat="false" ht="12" hidden="false" customHeight="true" outlineLevel="0" collapsed="false">
      <c r="A65" s="0" t="s">
        <v>1346</v>
      </c>
      <c r="B65" s="0" t="s">
        <v>179</v>
      </c>
      <c r="C65" s="0" t="s">
        <v>189</v>
      </c>
      <c r="G65" s="0" t="s">
        <v>10</v>
      </c>
    </row>
    <row r="66" customFormat="false" ht="12" hidden="false" customHeight="true" outlineLevel="0" collapsed="false">
      <c r="A66" s="0" t="s">
        <v>1347</v>
      </c>
      <c r="B66" s="0" t="s">
        <v>179</v>
      </c>
      <c r="C66" s="0" t="s">
        <v>189</v>
      </c>
      <c r="G66" s="0" t="s">
        <v>10</v>
      </c>
    </row>
    <row r="67" customFormat="false" ht="12" hidden="false" customHeight="true" outlineLevel="0" collapsed="false">
      <c r="A67" s="6" t="s">
        <v>1348</v>
      </c>
      <c r="B67" s="16" t="s">
        <v>1349</v>
      </c>
      <c r="C67" s="0" t="s">
        <v>189</v>
      </c>
      <c r="G67" s="0" t="s">
        <v>10</v>
      </c>
    </row>
    <row r="68" customFormat="false" ht="12" hidden="false" customHeight="true" outlineLevel="0" collapsed="false">
      <c r="A68" s="6" t="s">
        <v>1350</v>
      </c>
      <c r="B68" s="0" t="s">
        <v>1351</v>
      </c>
      <c r="C68" s="0" t="s">
        <v>189</v>
      </c>
      <c r="G68" s="0" t="s">
        <v>10</v>
      </c>
    </row>
    <row r="69" customFormat="false" ht="12" hidden="false" customHeight="true" outlineLevel="0" collapsed="false">
      <c r="A69" s="6" t="s">
        <v>1352</v>
      </c>
      <c r="B69" s="0" t="s">
        <v>1353</v>
      </c>
      <c r="C69" s="0" t="s">
        <v>189</v>
      </c>
      <c r="G69" s="0" t="s">
        <v>24</v>
      </c>
    </row>
    <row r="70" customFormat="false" ht="12" hidden="false" customHeight="true" outlineLevel="0" collapsed="false">
      <c r="A70" s="6" t="s">
        <v>1354</v>
      </c>
      <c r="B70" s="0" t="s">
        <v>1355</v>
      </c>
      <c r="C70" s="0" t="s">
        <v>189</v>
      </c>
      <c r="G70" s="0" t="s">
        <v>58</v>
      </c>
    </row>
    <row r="71" customFormat="false" ht="12" hidden="false" customHeight="true" outlineLevel="0" collapsed="false">
      <c r="A71" s="6" t="s">
        <v>1356</v>
      </c>
      <c r="B71" s="0" t="s">
        <v>1357</v>
      </c>
      <c r="C71" s="0" t="s">
        <v>1358</v>
      </c>
      <c r="F71" s="0" t="n">
        <v>292</v>
      </c>
      <c r="G71" s="16" t="s">
        <v>10</v>
      </c>
    </row>
    <row r="72" customFormat="false" ht="12" hidden="false" customHeight="true" outlineLevel="0" collapsed="false">
      <c r="A72" s="6" t="s">
        <v>1359</v>
      </c>
      <c r="B72" s="16" t="s">
        <v>1360</v>
      </c>
      <c r="C72" s="0" t="s">
        <v>189</v>
      </c>
      <c r="G72" s="0" t="s">
        <v>10</v>
      </c>
    </row>
    <row r="73" customFormat="false" ht="12" hidden="false" customHeight="true" outlineLevel="0" collapsed="false">
      <c r="A73" s="6" t="s">
        <v>1361</v>
      </c>
      <c r="B73" s="0" t="s">
        <v>150</v>
      </c>
      <c r="C73" s="0" t="s">
        <v>189</v>
      </c>
      <c r="G73" s="0" t="s">
        <v>10</v>
      </c>
    </row>
    <row r="74" customFormat="false" ht="12" hidden="false" customHeight="true" outlineLevel="0" collapsed="false">
      <c r="A74" s="6" t="s">
        <v>1362</v>
      </c>
      <c r="B74" s="0" t="s">
        <v>150</v>
      </c>
      <c r="C74" s="0" t="s">
        <v>189</v>
      </c>
      <c r="G74" s="0" t="s">
        <v>10</v>
      </c>
    </row>
    <row r="75" customFormat="false" ht="12" hidden="false" customHeight="true" outlineLevel="0" collapsed="false">
      <c r="A75" s="6" t="s">
        <v>1363</v>
      </c>
      <c r="B75" s="0" t="s">
        <v>150</v>
      </c>
      <c r="C75" s="0" t="s">
        <v>189</v>
      </c>
      <c r="G75" s="0" t="s">
        <v>10</v>
      </c>
    </row>
    <row r="76" customFormat="false" ht="12" hidden="false" customHeight="true" outlineLevel="0" collapsed="false">
      <c r="A76" s="6" t="s">
        <v>1364</v>
      </c>
      <c r="B76" s="0" t="s">
        <v>150</v>
      </c>
      <c r="C76" s="0" t="s">
        <v>189</v>
      </c>
      <c r="G76" s="0" t="s">
        <v>10</v>
      </c>
    </row>
    <row r="77" customFormat="false" ht="12" hidden="false" customHeight="true" outlineLevel="0" collapsed="false">
      <c r="A77" s="6" t="s">
        <v>1365</v>
      </c>
      <c r="B77" s="0" t="s">
        <v>150</v>
      </c>
      <c r="C77" s="0" t="s">
        <v>189</v>
      </c>
      <c r="G77" s="0" t="s">
        <v>10</v>
      </c>
    </row>
    <row r="78" customFormat="false" ht="12" hidden="false" customHeight="true" outlineLevel="0" collapsed="false">
      <c r="A78" s="6" t="s">
        <v>1366</v>
      </c>
      <c r="B78" s="16" t="s">
        <v>1367</v>
      </c>
      <c r="C78" s="0" t="s">
        <v>189</v>
      </c>
      <c r="G78" s="0" t="s">
        <v>10</v>
      </c>
    </row>
    <row r="79" customFormat="false" ht="12" hidden="false" customHeight="true" outlineLevel="0" collapsed="false">
      <c r="A79" s="6" t="s">
        <v>1368</v>
      </c>
      <c r="B79" s="0" t="s">
        <v>1369</v>
      </c>
      <c r="C79" s="0" t="s">
        <v>1370</v>
      </c>
      <c r="F79" s="0" t="n">
        <v>346</v>
      </c>
      <c r="G79" s="16" t="s">
        <v>10</v>
      </c>
    </row>
    <row r="80" customFormat="false" ht="12" hidden="false" customHeight="true" outlineLevel="0" collapsed="false">
      <c r="A80" s="6" t="s">
        <v>1371</v>
      </c>
      <c r="B80" s="0" t="s">
        <v>1372</v>
      </c>
      <c r="C80" s="0" t="s">
        <v>189</v>
      </c>
      <c r="G80" s="0" t="s">
        <v>10</v>
      </c>
    </row>
    <row r="81" customFormat="false" ht="12" hidden="false" customHeight="true" outlineLevel="0" collapsed="false">
      <c r="A81" s="0" t="s">
        <v>1373</v>
      </c>
      <c r="B81" s="0" t="s">
        <v>1374</v>
      </c>
      <c r="C81" s="0" t="s">
        <v>189</v>
      </c>
      <c r="G81" s="0" t="s">
        <v>10</v>
      </c>
    </row>
    <row r="82" customFormat="false" ht="12" hidden="false" customHeight="true" outlineLevel="0" collapsed="false">
      <c r="A82" s="6" t="s">
        <v>1375</v>
      </c>
      <c r="B82" s="0" t="s">
        <v>1376</v>
      </c>
      <c r="C82" s="0" t="s">
        <v>189</v>
      </c>
      <c r="G82" s="0" t="s">
        <v>10</v>
      </c>
    </row>
    <row r="83" customFormat="false" ht="12" hidden="false" customHeight="true" outlineLevel="0" collapsed="false">
      <c r="A83" s="6" t="s">
        <v>1377</v>
      </c>
      <c r="B83" s="0" t="s">
        <v>1376</v>
      </c>
      <c r="C83" s="0" t="s">
        <v>189</v>
      </c>
      <c r="G83" s="0" t="s">
        <v>58</v>
      </c>
    </row>
    <row r="84" customFormat="false" ht="12" hidden="false" customHeight="true" outlineLevel="0" collapsed="false">
      <c r="A84" s="6" t="s">
        <v>1378</v>
      </c>
      <c r="B84" s="0" t="s">
        <v>201</v>
      </c>
      <c r="C84" s="0" t="s">
        <v>189</v>
      </c>
      <c r="G84" s="16" t="s">
        <v>202</v>
      </c>
    </row>
    <row r="85" customFormat="false" ht="12" hidden="false" customHeight="true" outlineLevel="0" collapsed="false">
      <c r="A85" s="0" t="s">
        <v>1379</v>
      </c>
      <c r="B85" s="0" t="s">
        <v>201</v>
      </c>
      <c r="C85" s="0" t="s">
        <v>1380</v>
      </c>
      <c r="F85" s="0" t="n">
        <v>247</v>
      </c>
      <c r="G85" s="0" t="s">
        <v>202</v>
      </c>
    </row>
    <row r="86" customFormat="false" ht="12" hidden="false" customHeight="true" outlineLevel="0" collapsed="false">
      <c r="A86" s="6" t="s">
        <v>1381</v>
      </c>
      <c r="B86" s="0" t="s">
        <v>130</v>
      </c>
      <c r="C86" s="0" t="s">
        <v>189</v>
      </c>
      <c r="G86" s="0" t="s">
        <v>10</v>
      </c>
    </row>
    <row r="87" customFormat="false" ht="12" hidden="false" customHeight="true" outlineLevel="0" collapsed="false">
      <c r="A87" s="6" t="s">
        <v>1382</v>
      </c>
      <c r="B87" s="0" t="s">
        <v>1383</v>
      </c>
      <c r="C87" s="0" t="s">
        <v>189</v>
      </c>
      <c r="G87" s="0" t="s">
        <v>202</v>
      </c>
    </row>
    <row r="88" customFormat="false" ht="12" hidden="false" customHeight="true" outlineLevel="0" collapsed="false">
      <c r="A88" s="6" t="s">
        <v>1384</v>
      </c>
      <c r="B88" s="0" t="s">
        <v>434</v>
      </c>
      <c r="C88" s="16" t="s">
        <v>1385</v>
      </c>
      <c r="D88" s="16"/>
      <c r="E88" s="16"/>
      <c r="F88" s="16" t="n">
        <v>303</v>
      </c>
      <c r="G88" s="16" t="s">
        <v>10</v>
      </c>
      <c r="H88" s="16"/>
    </row>
    <row r="89" customFormat="false" ht="12" hidden="false" customHeight="true" outlineLevel="0" collapsed="false">
      <c r="A89" s="6" t="s">
        <v>1386</v>
      </c>
      <c r="B89" s="16" t="s">
        <v>1387</v>
      </c>
      <c r="C89" s="0" t="s">
        <v>189</v>
      </c>
      <c r="G89" s="0" t="s">
        <v>24</v>
      </c>
    </row>
    <row r="90" customFormat="false" ht="12" hidden="false" customHeight="true" outlineLevel="0" collapsed="false">
      <c r="A90" s="6" t="s">
        <v>1388</v>
      </c>
      <c r="B90" s="0" t="s">
        <v>82</v>
      </c>
      <c r="C90" s="0" t="s">
        <v>189</v>
      </c>
      <c r="G90" s="0" t="s">
        <v>10</v>
      </c>
    </row>
    <row r="91" customFormat="false" ht="12" hidden="false" customHeight="true" outlineLevel="0" collapsed="false">
      <c r="A91" s="6" t="s">
        <v>1389</v>
      </c>
      <c r="B91" s="0" t="s">
        <v>1390</v>
      </c>
      <c r="C91" s="0" t="s">
        <v>189</v>
      </c>
      <c r="G91" s="0" t="s">
        <v>24</v>
      </c>
    </row>
    <row r="92" customFormat="false" ht="12" hidden="false" customHeight="true" outlineLevel="0" collapsed="false">
      <c r="A92" s="0" t="s">
        <v>1391</v>
      </c>
      <c r="B92" s="0" t="s">
        <v>1392</v>
      </c>
      <c r="C92" s="0" t="s">
        <v>189</v>
      </c>
      <c r="G92" s="0" t="s">
        <v>58</v>
      </c>
    </row>
    <row r="93" customFormat="false" ht="12" hidden="false" customHeight="true" outlineLevel="0" collapsed="false">
      <c r="A93" s="6" t="s">
        <v>1393</v>
      </c>
      <c r="B93" s="0" t="s">
        <v>1129</v>
      </c>
      <c r="C93" s="0" t="s">
        <v>189</v>
      </c>
      <c r="G93" s="0" t="s">
        <v>10</v>
      </c>
    </row>
    <row r="94" customFormat="false" ht="12" hidden="false" customHeight="true" outlineLevel="0" collapsed="false">
      <c r="A94" s="6" t="s">
        <v>1394</v>
      </c>
      <c r="B94" s="0" t="s">
        <v>1395</v>
      </c>
      <c r="C94" s="0" t="s">
        <v>189</v>
      </c>
      <c r="G94" s="16" t="s">
        <v>10</v>
      </c>
    </row>
    <row r="95" customFormat="false" ht="12" hidden="false" customHeight="true" outlineLevel="0" collapsed="false">
      <c r="A95" s="0" t="s">
        <v>843</v>
      </c>
      <c r="B95" s="0" t="s">
        <v>1396</v>
      </c>
      <c r="C95" s="0" t="s">
        <v>189</v>
      </c>
      <c r="G95" s="0" t="s">
        <v>10</v>
      </c>
    </row>
    <row r="96" customFormat="false" ht="12" hidden="false" customHeight="true" outlineLevel="0" collapsed="false">
      <c r="A96" s="0" t="s">
        <v>1397</v>
      </c>
      <c r="B96" s="0" t="s">
        <v>1398</v>
      </c>
      <c r="C96" s="0" t="s">
        <v>189</v>
      </c>
      <c r="G96" s="0" t="s">
        <v>58</v>
      </c>
    </row>
    <row r="97" customFormat="false" ht="12" hidden="false" customHeight="true" outlineLevel="0" collapsed="false">
      <c r="A97" s="6" t="s">
        <v>1399</v>
      </c>
      <c r="B97" s="0" t="s">
        <v>1400</v>
      </c>
      <c r="C97" s="0" t="s">
        <v>189</v>
      </c>
      <c r="G97" s="16" t="s">
        <v>10</v>
      </c>
    </row>
    <row r="98" customFormat="false" ht="12" hidden="false" customHeight="true" outlineLevel="0" collapsed="false">
      <c r="A98" s="6" t="s">
        <v>1401</v>
      </c>
      <c r="B98" s="16" t="s">
        <v>238</v>
      </c>
      <c r="C98" s="0" t="s">
        <v>189</v>
      </c>
      <c r="G98" s="0" t="s">
        <v>10</v>
      </c>
    </row>
    <row r="99" customFormat="false" ht="12" hidden="false" customHeight="true" outlineLevel="0" collapsed="false">
      <c r="A99" s="6" t="s">
        <v>1402</v>
      </c>
      <c r="B99" s="0" t="s">
        <v>537</v>
      </c>
      <c r="C99" s="0" t="s">
        <v>1403</v>
      </c>
      <c r="G99" s="16" t="s">
        <v>10</v>
      </c>
    </row>
    <row r="100" customFormat="false" ht="12" hidden="false" customHeight="true" outlineLevel="0" collapsed="false">
      <c r="A100" s="6" t="s">
        <v>1404</v>
      </c>
      <c r="B100" s="0" t="s">
        <v>1405</v>
      </c>
      <c r="C100" s="0" t="s">
        <v>189</v>
      </c>
      <c r="G100" s="0" t="s">
        <v>10</v>
      </c>
    </row>
    <row r="101" customFormat="false" ht="12" hidden="false" customHeight="true" outlineLevel="0" collapsed="false">
      <c r="A101" s="6" t="s">
        <v>1406</v>
      </c>
      <c r="B101" s="0" t="s">
        <v>185</v>
      </c>
      <c r="C101" s="0" t="s">
        <v>1407</v>
      </c>
      <c r="F101" s="0" t="n">
        <v>774</v>
      </c>
      <c r="G101" s="0" t="s">
        <v>10</v>
      </c>
      <c r="L101" s="30" t="str">
        <f aca="false">IF(ISBLANK(E101)," ",B101)</f>
        <v> </v>
      </c>
    </row>
    <row r="102" customFormat="false" ht="12" hidden="false" customHeight="true" outlineLevel="0" collapsed="false">
      <c r="A102" s="6" t="s">
        <v>982</v>
      </c>
      <c r="B102" s="0" t="s">
        <v>191</v>
      </c>
      <c r="C102" s="0" t="s">
        <v>189</v>
      </c>
      <c r="F102" s="0" t="n">
        <v>416</v>
      </c>
      <c r="G102" s="0" t="s">
        <v>10</v>
      </c>
      <c r="L102" s="30" t="str">
        <f aca="false">IF(ISBLANK(E102)," ",B102)</f>
        <v> </v>
      </c>
    </row>
    <row r="103" customFormat="false" ht="12" hidden="false" customHeight="true" outlineLevel="0" collapsed="false">
      <c r="A103" s="6" t="s">
        <v>1408</v>
      </c>
      <c r="B103" s="0" t="s">
        <v>553</v>
      </c>
      <c r="C103" s="0" t="s">
        <v>1409</v>
      </c>
      <c r="F103" s="0" t="n">
        <v>464</v>
      </c>
      <c r="G103" s="0" t="s">
        <v>10</v>
      </c>
      <c r="L103" s="30" t="str">
        <f aca="false">IF(ISBLANK(E103)," ",B103)</f>
        <v> </v>
      </c>
    </row>
    <row r="104" customFormat="false" ht="12" hidden="false" customHeight="true" outlineLevel="0" collapsed="false">
      <c r="A104" s="6" t="s">
        <v>1410</v>
      </c>
      <c r="B104" s="0" t="s">
        <v>1411</v>
      </c>
      <c r="C104" s="0" t="s">
        <v>1412</v>
      </c>
      <c r="F104" s="0" t="n">
        <v>1111</v>
      </c>
      <c r="G104" s="0" t="s">
        <v>10</v>
      </c>
      <c r="L104" s="30" t="str">
        <f aca="false">IF(ISBLANK(E104)," ",B104)</f>
        <v> 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5" defaultRowHeight="12" zeroHeight="false" outlineLevelRow="0" outlineLevelCol="0"/>
  <cols>
    <col collapsed="false" customWidth="true" hidden="false" outlineLevel="0" max="1" min="1" style="6" width="59.5"/>
    <col collapsed="false" customWidth="true" hidden="false" outlineLevel="0" max="2" min="2" style="0" width="20.5"/>
    <col collapsed="false" customWidth="true" hidden="false" outlineLevel="0" max="3" min="3" style="0" width="14.49"/>
    <col collapsed="false" customWidth="true" hidden="false" outlineLevel="0" max="5" min="4" style="0" width="11.5"/>
    <col collapsed="false" customWidth="true" hidden="false" outlineLevel="0" max="6" min="6" style="6" width="7.5"/>
    <col collapsed="false" customWidth="true" hidden="false" outlineLevel="0" max="7" min="7" style="0" width="14.49"/>
    <col collapsed="false" customWidth="true" hidden="false" outlineLevel="0" max="8" min="8" style="0" width="22.49"/>
  </cols>
  <sheetData>
    <row r="1" s="6" customFormat="true" ht="12.75" hidden="false" customHeight="true" outlineLevel="0" collapsed="false">
      <c r="A1" s="10" t="s">
        <v>0</v>
      </c>
      <c r="B1" s="10" t="s">
        <v>1</v>
      </c>
      <c r="C1" s="10" t="s">
        <v>2</v>
      </c>
      <c r="D1" s="11" t="s">
        <v>3</v>
      </c>
      <c r="E1" s="12" t="s">
        <v>4</v>
      </c>
      <c r="F1" s="11" t="s">
        <v>5</v>
      </c>
      <c r="G1" s="12" t="s">
        <v>6</v>
      </c>
      <c r="H1" s="12" t="s">
        <v>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9" activeCellId="0" sqref="B9"/>
    </sheetView>
  </sheetViews>
  <sheetFormatPr defaultColWidth="8.5" defaultRowHeight="12" zeroHeight="false" outlineLevelRow="0" outlineLevelCol="0"/>
  <cols>
    <col collapsed="false" customWidth="true" hidden="false" outlineLevel="0" max="1" min="1" style="6" width="57.49"/>
    <col collapsed="false" customWidth="true" hidden="false" outlineLevel="0" max="2" min="2" style="0" width="24.5"/>
    <col collapsed="false" customWidth="true" hidden="false" outlineLevel="0" max="3" min="3" style="0" width="14.49"/>
    <col collapsed="false" customWidth="true" hidden="false" outlineLevel="0" max="4" min="4" style="0" width="7.5"/>
    <col collapsed="false" customWidth="true" hidden="false" outlineLevel="0" max="6" min="6" style="0" width="7.5"/>
    <col collapsed="false" customWidth="true" hidden="false" outlineLevel="0" max="7" min="7" style="0" width="84.5"/>
    <col collapsed="false" customWidth="true" hidden="false" outlineLevel="0" max="8" min="8" style="0" width="22.49"/>
  </cols>
  <sheetData>
    <row r="1" s="6" customFormat="true" ht="12.75" hidden="false" customHeight="true" outlineLevel="0" collapsed="false">
      <c r="A1" s="10" t="s">
        <v>0</v>
      </c>
      <c r="B1" s="10" t="s">
        <v>1</v>
      </c>
      <c r="C1" s="10" t="s">
        <v>2</v>
      </c>
      <c r="D1" s="11" t="s">
        <v>3</v>
      </c>
      <c r="E1" s="12" t="s">
        <v>4</v>
      </c>
      <c r="F1" s="11" t="s">
        <v>5</v>
      </c>
      <c r="G1" s="12" t="s">
        <v>6</v>
      </c>
      <c r="H1" s="12" t="s">
        <v>7</v>
      </c>
    </row>
    <row r="2" s="6" customFormat="true" ht="12" hidden="false" customHeight="true" outlineLevel="0" collapsed="false">
      <c r="A2" s="6" t="s">
        <v>1413</v>
      </c>
      <c r="B2" s="16" t="s">
        <v>1414</v>
      </c>
      <c r="C2" s="16" t="s">
        <v>1415</v>
      </c>
      <c r="D2" s="16"/>
      <c r="E2" s="16"/>
      <c r="F2" s="16" t="n">
        <v>392</v>
      </c>
      <c r="G2" s="16" t="s">
        <v>10</v>
      </c>
      <c r="H2" s="0"/>
    </row>
    <row r="3" customFormat="false" ht="12" hidden="false" customHeight="true" outlineLevel="0" collapsed="false">
      <c r="A3" s="0" t="s">
        <v>1416</v>
      </c>
      <c r="B3" s="0" t="s">
        <v>1417</v>
      </c>
      <c r="C3" s="0" t="s">
        <v>1418</v>
      </c>
      <c r="F3" s="0" t="n">
        <v>407</v>
      </c>
      <c r="G3" s="0" t="s">
        <v>10</v>
      </c>
    </row>
    <row r="4" customFormat="false" ht="12" hidden="false" customHeight="true" outlineLevel="0" collapsed="false">
      <c r="A4" s="6" t="s">
        <v>1419</v>
      </c>
      <c r="B4" s="16" t="s">
        <v>1420</v>
      </c>
      <c r="C4" s="16" t="s">
        <v>1421</v>
      </c>
      <c r="D4" s="16"/>
      <c r="E4" s="16"/>
      <c r="F4" s="16" t="n">
        <v>309</v>
      </c>
      <c r="G4" s="16" t="s">
        <v>10</v>
      </c>
      <c r="H4" s="16"/>
    </row>
    <row r="5" customFormat="false" ht="12" hidden="false" customHeight="true" outlineLevel="0" collapsed="false">
      <c r="A5" s="0" t="s">
        <v>1422</v>
      </c>
      <c r="B5" s="0" t="s">
        <v>1423</v>
      </c>
      <c r="C5" s="0" t="s">
        <v>1424</v>
      </c>
      <c r="F5" s="0" t="n">
        <v>78</v>
      </c>
      <c r="G5" s="0" t="s">
        <v>10</v>
      </c>
    </row>
    <row r="6" customFormat="false" ht="12" hidden="false" customHeight="true" outlineLevel="0" collapsed="false">
      <c r="A6" s="6" t="s">
        <v>1425</v>
      </c>
      <c r="B6" s="6" t="s">
        <v>1426</v>
      </c>
      <c r="C6" s="0" t="s">
        <v>1427</v>
      </c>
      <c r="F6" s="0" t="n">
        <v>205</v>
      </c>
      <c r="G6" s="16" t="s">
        <v>10</v>
      </c>
    </row>
    <row r="7" customFormat="false" ht="12" hidden="false" customHeight="true" outlineLevel="0" collapsed="false">
      <c r="A7" s="0" t="s">
        <v>1428</v>
      </c>
      <c r="B7" s="0" t="s">
        <v>1429</v>
      </c>
      <c r="C7" s="0" t="s">
        <v>1430</v>
      </c>
      <c r="F7" s="0" t="n">
        <v>195</v>
      </c>
      <c r="G7" s="0" t="s">
        <v>1431</v>
      </c>
    </row>
    <row r="8" customFormat="false" ht="12" hidden="false" customHeight="true" outlineLevel="0" collapsed="false">
      <c r="A8" s="6" t="s">
        <v>1432</v>
      </c>
      <c r="B8" s="6" t="s">
        <v>1433</v>
      </c>
      <c r="C8" s="6" t="s">
        <v>1434</v>
      </c>
      <c r="F8" s="6" t="n">
        <v>300</v>
      </c>
      <c r="G8" s="0" t="s">
        <v>10</v>
      </c>
    </row>
    <row r="9" customFormat="false" ht="12" hidden="false" customHeight="true" outlineLevel="0" collapsed="false">
      <c r="A9" s="60" t="s">
        <v>619</v>
      </c>
      <c r="B9" s="60" t="s">
        <v>737</v>
      </c>
      <c r="C9" s="60" t="s">
        <v>1435</v>
      </c>
      <c r="D9" s="60"/>
      <c r="E9" s="60"/>
      <c r="F9" s="60" t="n">
        <v>385</v>
      </c>
      <c r="G9" s="60" t="s">
        <v>10</v>
      </c>
    </row>
    <row r="10" customFormat="false" ht="12" hidden="false" customHeight="true" outlineLevel="0" collapsed="false">
      <c r="A10" s="0" t="s">
        <v>1436</v>
      </c>
      <c r="B10" s="0" t="s">
        <v>1437</v>
      </c>
      <c r="C10" s="0" t="s">
        <v>1438</v>
      </c>
      <c r="F10" s="0" t="n">
        <v>146</v>
      </c>
      <c r="G10" s="0" t="s">
        <v>58</v>
      </c>
    </row>
    <row r="11" customFormat="false" ht="12" hidden="false" customHeight="true" outlineLevel="0" collapsed="false">
      <c r="A11" s="60" t="s">
        <v>1439</v>
      </c>
      <c r="B11" s="60" t="s">
        <v>1440</v>
      </c>
      <c r="C11" s="60" t="s">
        <v>1441</v>
      </c>
      <c r="D11" s="60"/>
      <c r="E11" s="60"/>
      <c r="F11" s="60" t="n">
        <v>155</v>
      </c>
      <c r="G11" s="60" t="s">
        <v>10</v>
      </c>
    </row>
    <row r="12" customFormat="false" ht="12" hidden="false" customHeight="true" outlineLevel="0" collapsed="false">
      <c r="A12" s="6" t="s">
        <v>1442</v>
      </c>
      <c r="B12" s="0" t="s">
        <v>1443</v>
      </c>
      <c r="C12" s="0" t="s">
        <v>1444</v>
      </c>
      <c r="F12" s="0" t="n">
        <v>815</v>
      </c>
      <c r="G12" s="16" t="s">
        <v>10</v>
      </c>
    </row>
    <row r="13" customFormat="false" ht="12" hidden="false" customHeight="true" outlineLevel="0" collapsed="false">
      <c r="A13" s="0" t="s">
        <v>1445</v>
      </c>
      <c r="B13" s="0" t="s">
        <v>1446</v>
      </c>
      <c r="C13" s="0" t="s">
        <v>1447</v>
      </c>
      <c r="F13" s="0" t="n">
        <v>144</v>
      </c>
      <c r="G13" s="0" t="s">
        <v>10</v>
      </c>
    </row>
    <row r="14" customFormat="false" ht="12" hidden="false" customHeight="true" outlineLevel="0" collapsed="false">
      <c r="A14" s="0" t="s">
        <v>1448</v>
      </c>
      <c r="B14" s="0" t="s">
        <v>1449</v>
      </c>
      <c r="C14" s="0" t="s">
        <v>1450</v>
      </c>
      <c r="D14" s="61"/>
      <c r="E14" s="61"/>
      <c r="F14" s="0" t="n">
        <v>324</v>
      </c>
      <c r="G14" s="6" t="s">
        <v>24</v>
      </c>
      <c r="H14" s="13"/>
    </row>
    <row r="15" customFormat="false" ht="12" hidden="false" customHeight="true" outlineLevel="0" collapsed="false">
      <c r="A15" s="6" t="s">
        <v>1451</v>
      </c>
      <c r="B15" s="0" t="s">
        <v>1452</v>
      </c>
      <c r="C15" s="0" t="s">
        <v>1453</v>
      </c>
      <c r="F15" s="0" t="n">
        <v>356</v>
      </c>
      <c r="G15" s="16" t="s">
        <v>10</v>
      </c>
    </row>
    <row r="16" customFormat="false" ht="12" hidden="false" customHeight="true" outlineLevel="0" collapsed="false">
      <c r="A16" s="0" t="s">
        <v>1454</v>
      </c>
      <c r="B16" s="0" t="s">
        <v>1455</v>
      </c>
      <c r="C16" s="0" t="s">
        <v>1456</v>
      </c>
      <c r="F16" s="0" t="n">
        <v>280</v>
      </c>
      <c r="G16" s="0" t="s">
        <v>10</v>
      </c>
    </row>
    <row r="17" customFormat="false" ht="12" hidden="false" customHeight="true" outlineLevel="0" collapsed="false">
      <c r="A17" s="6" t="s">
        <v>1457</v>
      </c>
      <c r="B17" s="16" t="s">
        <v>1458</v>
      </c>
      <c r="C17" s="16" t="s">
        <v>1459</v>
      </c>
      <c r="D17" s="16"/>
      <c r="E17" s="16"/>
      <c r="F17" s="16" t="n">
        <v>199</v>
      </c>
      <c r="G17" s="16" t="s">
        <v>1460</v>
      </c>
      <c r="H17" s="16"/>
    </row>
    <row r="18" customFormat="false" ht="12" hidden="false" customHeight="true" outlineLevel="0" collapsed="false">
      <c r="A18" s="0" t="s">
        <v>1461</v>
      </c>
      <c r="B18" s="0" t="s">
        <v>1462</v>
      </c>
      <c r="C18" s="0" t="s">
        <v>1463</v>
      </c>
      <c r="F18" s="0" t="n">
        <v>424</v>
      </c>
      <c r="G18" s="0" t="s">
        <v>10</v>
      </c>
    </row>
    <row r="19" customFormat="false" ht="12" hidden="false" customHeight="true" outlineLevel="0" collapsed="false">
      <c r="A19" s="0" t="s">
        <v>1464</v>
      </c>
      <c r="B19" s="0" t="s">
        <v>1465</v>
      </c>
      <c r="C19" s="0" t="s">
        <v>1466</v>
      </c>
      <c r="F19" s="0" t="n">
        <v>397</v>
      </c>
      <c r="G19" s="0" t="s">
        <v>10</v>
      </c>
    </row>
    <row r="20" customFormat="false" ht="12" hidden="false" customHeight="true" outlineLevel="0" collapsed="false">
      <c r="A20" s="0" t="s">
        <v>1467</v>
      </c>
      <c r="B20" s="0" t="s">
        <v>1468</v>
      </c>
      <c r="C20" s="0" t="s">
        <v>1469</v>
      </c>
      <c r="F20" s="0" t="n">
        <v>362</v>
      </c>
      <c r="G20" s="0" t="s">
        <v>10</v>
      </c>
    </row>
    <row r="21" customFormat="false" ht="12" hidden="false" customHeight="true" outlineLevel="0" collapsed="false">
      <c r="A21" s="6" t="s">
        <v>1470</v>
      </c>
      <c r="B21" s="0" t="s">
        <v>1471</v>
      </c>
      <c r="C21" s="0" t="s">
        <v>1472</v>
      </c>
      <c r="F21" s="0" t="n">
        <v>165</v>
      </c>
      <c r="G21" s="16" t="s">
        <v>10</v>
      </c>
    </row>
    <row r="22" customFormat="false" ht="12" hidden="false" customHeight="true" outlineLevel="0" collapsed="false">
      <c r="A22" s="0" t="s">
        <v>1473</v>
      </c>
      <c r="B22" s="0" t="s">
        <v>1474</v>
      </c>
      <c r="C22" s="0" t="s">
        <v>1475</v>
      </c>
      <c r="F22" s="0" t="n">
        <v>307</v>
      </c>
      <c r="G22" s="0" t="s">
        <v>390</v>
      </c>
    </row>
    <row r="23" customFormat="false" ht="12" hidden="false" customHeight="true" outlineLevel="0" collapsed="false">
      <c r="A23" s="0" t="s">
        <v>1476</v>
      </c>
      <c r="B23" s="0" t="s">
        <v>1477</v>
      </c>
      <c r="C23" s="0" t="s">
        <v>1478</v>
      </c>
      <c r="F23" s="0" t="n">
        <v>233</v>
      </c>
      <c r="G23" s="0" t="s">
        <v>24</v>
      </c>
    </row>
    <row r="24" customFormat="false" ht="12" hidden="false" customHeight="true" outlineLevel="0" collapsed="false">
      <c r="A24" s="6" t="s">
        <v>1479</v>
      </c>
      <c r="B24" s="16" t="s">
        <v>112</v>
      </c>
      <c r="C24" s="0" t="s">
        <v>1480</v>
      </c>
      <c r="F24" s="0" t="n">
        <v>524</v>
      </c>
      <c r="G24" s="0" t="s">
        <v>58</v>
      </c>
    </row>
    <row r="25" customFormat="false" ht="12" hidden="false" customHeight="true" outlineLevel="0" collapsed="false">
      <c r="A25" s="6" t="s">
        <v>1481</v>
      </c>
      <c r="B25" s="0" t="s">
        <v>1213</v>
      </c>
      <c r="C25" s="0" t="s">
        <v>1482</v>
      </c>
      <c r="F25" s="0" t="n">
        <v>348</v>
      </c>
      <c r="G25" s="16" t="s">
        <v>10</v>
      </c>
    </row>
    <row r="26" customFormat="false" ht="12" hidden="false" customHeight="true" outlineLevel="0" collapsed="false">
      <c r="A26" s="6" t="s">
        <v>1483</v>
      </c>
      <c r="B26" s="0" t="s">
        <v>1213</v>
      </c>
      <c r="C26" s="0" t="s">
        <v>1484</v>
      </c>
      <c r="F26" s="0" t="n">
        <v>217</v>
      </c>
      <c r="G26" s="16" t="s">
        <v>10</v>
      </c>
    </row>
    <row r="27" customFormat="false" ht="12" hidden="false" customHeight="true" outlineLevel="0" collapsed="false">
      <c r="A27" s="6" t="s">
        <v>1485</v>
      </c>
      <c r="B27" s="0" t="s">
        <v>1213</v>
      </c>
      <c r="C27" s="0" t="s">
        <v>1486</v>
      </c>
      <c r="F27" s="0" t="n">
        <v>636</v>
      </c>
      <c r="G27" s="16" t="s">
        <v>10</v>
      </c>
    </row>
    <row r="28" customFormat="false" ht="12" hidden="false" customHeight="true" outlineLevel="0" collapsed="false">
      <c r="A28" s="0" t="s">
        <v>1487</v>
      </c>
      <c r="B28" s="0" t="s">
        <v>1488</v>
      </c>
      <c r="C28" s="0" t="s">
        <v>1489</v>
      </c>
      <c r="F28" s="0" t="n">
        <v>303</v>
      </c>
      <c r="G28" s="0" t="s">
        <v>24</v>
      </c>
    </row>
    <row r="29" customFormat="false" ht="12" hidden="false" customHeight="true" outlineLevel="0" collapsed="false">
      <c r="A29" s="0" t="s">
        <v>1490</v>
      </c>
      <c r="B29" s="0" t="s">
        <v>1491</v>
      </c>
      <c r="C29" s="0" t="s">
        <v>1492</v>
      </c>
      <c r="F29" s="0" t="n">
        <v>337</v>
      </c>
      <c r="G29" s="0" t="s">
        <v>10</v>
      </c>
    </row>
    <row r="30" customFormat="false" ht="12" hidden="false" customHeight="true" outlineLevel="0" collapsed="false">
      <c r="A30" s="0" t="s">
        <v>529</v>
      </c>
      <c r="B30" s="0" t="s">
        <v>370</v>
      </c>
      <c r="C30" s="0" t="s">
        <v>1493</v>
      </c>
      <c r="F30" s="0" t="n">
        <v>318</v>
      </c>
      <c r="G30" s="0" t="s">
        <v>10</v>
      </c>
    </row>
    <row r="31" customFormat="false" ht="12" hidden="false" customHeight="true" outlineLevel="0" collapsed="false">
      <c r="A31" s="6" t="s">
        <v>1494</v>
      </c>
      <c r="B31" s="0" t="s">
        <v>370</v>
      </c>
      <c r="C31" s="0" t="s">
        <v>1495</v>
      </c>
      <c r="F31" s="62" t="n">
        <v>346</v>
      </c>
      <c r="G31" s="16" t="s">
        <v>24</v>
      </c>
    </row>
    <row r="32" customFormat="false" ht="12" hidden="false" customHeight="true" outlineLevel="0" collapsed="false">
      <c r="A32" s="6" t="s">
        <v>1496</v>
      </c>
      <c r="B32" s="0" t="s">
        <v>1497</v>
      </c>
      <c r="C32" s="0" t="s">
        <v>1498</v>
      </c>
      <c r="F32" s="0" t="n">
        <v>277</v>
      </c>
      <c r="G32" s="16" t="s">
        <v>10</v>
      </c>
    </row>
    <row r="33" customFormat="false" ht="12" hidden="false" customHeight="true" outlineLevel="0" collapsed="false">
      <c r="A33" s="6" t="s">
        <v>1499</v>
      </c>
      <c r="B33" s="6" t="s">
        <v>1500</v>
      </c>
      <c r="C33" s="6" t="s">
        <v>1501</v>
      </c>
      <c r="F33" s="6" t="n">
        <v>194</v>
      </c>
      <c r="G33" s="0" t="s">
        <v>10</v>
      </c>
    </row>
    <row r="34" customFormat="false" ht="12" hidden="false" customHeight="true" outlineLevel="0" collapsed="false">
      <c r="A34" s="0" t="s">
        <v>1502</v>
      </c>
      <c r="B34" s="0" t="s">
        <v>133</v>
      </c>
      <c r="C34" s="0" t="s">
        <v>1503</v>
      </c>
      <c r="F34" s="0" t="n">
        <v>265</v>
      </c>
      <c r="G34" s="0" t="s">
        <v>10</v>
      </c>
    </row>
    <row r="35" customFormat="false" ht="12" hidden="false" customHeight="true" outlineLevel="0" collapsed="false">
      <c r="A35" s="0" t="s">
        <v>1504</v>
      </c>
      <c r="B35" s="0" t="s">
        <v>1505</v>
      </c>
      <c r="C35" s="0" t="s">
        <v>1506</v>
      </c>
      <c r="F35" s="0" t="n">
        <v>350</v>
      </c>
      <c r="G35" s="0" t="s">
        <v>24</v>
      </c>
    </row>
    <row r="36" customFormat="false" ht="12" hidden="false" customHeight="true" outlineLevel="0" collapsed="false">
      <c r="A36" s="0" t="s">
        <v>1507</v>
      </c>
      <c r="B36" s="0" t="s">
        <v>1508</v>
      </c>
      <c r="C36" s="0" t="s">
        <v>1509</v>
      </c>
      <c r="F36" s="0" t="n">
        <v>215</v>
      </c>
      <c r="G36" s="16" t="s">
        <v>58</v>
      </c>
    </row>
    <row r="37" customFormat="false" ht="12" hidden="false" customHeight="true" outlineLevel="0" collapsed="false">
      <c r="A37" s="6" t="s">
        <v>1510</v>
      </c>
      <c r="B37" s="0" t="s">
        <v>1511</v>
      </c>
      <c r="C37" s="6" t="s">
        <v>1512</v>
      </c>
      <c r="F37" s="6" t="n">
        <v>52</v>
      </c>
      <c r="G37" s="0" t="s">
        <v>172</v>
      </c>
    </row>
    <row r="38" customFormat="false" ht="12" hidden="false" customHeight="true" outlineLevel="0" collapsed="false">
      <c r="A38" s="6" t="s">
        <v>1513</v>
      </c>
      <c r="B38" s="0" t="s">
        <v>1514</v>
      </c>
      <c r="C38" s="0" t="s">
        <v>1515</v>
      </c>
      <c r="F38" s="0" t="n">
        <v>569</v>
      </c>
      <c r="G38" s="16" t="s">
        <v>10</v>
      </c>
    </row>
    <row r="39" customFormat="false" ht="12" hidden="false" customHeight="true" outlineLevel="0" collapsed="false">
      <c r="A39" s="0" t="s">
        <v>1516</v>
      </c>
      <c r="B39" s="0" t="s">
        <v>1517</v>
      </c>
      <c r="C39" s="0" t="s">
        <v>1518</v>
      </c>
      <c r="F39" s="0" t="n">
        <v>222</v>
      </c>
      <c r="G39" s="0" t="s">
        <v>1519</v>
      </c>
    </row>
    <row r="40" customFormat="false" ht="12" hidden="false" customHeight="true" outlineLevel="0" collapsed="false">
      <c r="A40" s="60" t="s">
        <v>1520</v>
      </c>
      <c r="B40" s="60" t="s">
        <v>1521</v>
      </c>
      <c r="C40" s="60" t="s">
        <v>1522</v>
      </c>
      <c r="D40" s="60"/>
      <c r="E40" s="60"/>
      <c r="F40" s="60" t="n">
        <v>380</v>
      </c>
      <c r="G40" s="60" t="s">
        <v>10</v>
      </c>
    </row>
    <row r="41" customFormat="false" ht="12" hidden="false" customHeight="true" outlineLevel="0" collapsed="false">
      <c r="A41" s="0" t="s">
        <v>1523</v>
      </c>
      <c r="B41" s="0" t="s">
        <v>1202</v>
      </c>
      <c r="C41" s="0" t="s">
        <v>1524</v>
      </c>
      <c r="F41" s="0" t="n">
        <v>632</v>
      </c>
      <c r="G41" s="16" t="s">
        <v>24</v>
      </c>
    </row>
    <row r="42" customFormat="false" ht="12" hidden="false" customHeight="true" outlineLevel="0" collapsed="false">
      <c r="A42" s="6" t="s">
        <v>1525</v>
      </c>
      <c r="B42" s="0" t="s">
        <v>108</v>
      </c>
      <c r="C42" s="0" t="s">
        <v>1526</v>
      </c>
      <c r="F42" s="0" t="n">
        <v>428</v>
      </c>
      <c r="G42" s="16" t="s">
        <v>10</v>
      </c>
    </row>
    <row r="43" customFormat="false" ht="12" hidden="false" customHeight="true" outlineLevel="0" collapsed="false">
      <c r="A43" s="0" t="s">
        <v>1527</v>
      </c>
      <c r="B43" s="0" t="s">
        <v>1528</v>
      </c>
      <c r="C43" s="0" t="s">
        <v>1529</v>
      </c>
      <c r="F43" s="0" t="n">
        <v>174</v>
      </c>
      <c r="G43" s="0" t="s">
        <v>10</v>
      </c>
    </row>
    <row r="44" customFormat="false" ht="12" hidden="false" customHeight="true" outlineLevel="0" collapsed="false">
      <c r="A44" s="0" t="s">
        <v>1530</v>
      </c>
      <c r="B44" s="0" t="s">
        <v>1531</v>
      </c>
      <c r="C44" s="0" t="s">
        <v>1532</v>
      </c>
      <c r="F44" s="0" t="n">
        <v>189</v>
      </c>
      <c r="G44" s="0" t="s">
        <v>10</v>
      </c>
    </row>
    <row r="45" customFormat="false" ht="12" hidden="false" customHeight="true" outlineLevel="0" collapsed="false">
      <c r="A45" s="60" t="s">
        <v>1533</v>
      </c>
      <c r="B45" s="60" t="s">
        <v>1534</v>
      </c>
      <c r="C45" s="60" t="s">
        <v>1535</v>
      </c>
      <c r="D45" s="60"/>
      <c r="E45" s="60"/>
      <c r="F45" s="60" t="n">
        <v>478</v>
      </c>
      <c r="G45" s="60" t="s">
        <v>58</v>
      </c>
    </row>
    <row r="46" customFormat="false" ht="12" hidden="false" customHeight="true" outlineLevel="0" collapsed="false">
      <c r="A46" s="60" t="s">
        <v>547</v>
      </c>
      <c r="B46" s="60" t="s">
        <v>548</v>
      </c>
      <c r="C46" s="60" t="s">
        <v>1536</v>
      </c>
      <c r="D46" s="60"/>
      <c r="E46" s="60"/>
      <c r="F46" s="60" t="n">
        <v>297</v>
      </c>
      <c r="G46" s="60" t="s">
        <v>1537</v>
      </c>
    </row>
    <row r="47" customFormat="false" ht="12" hidden="false" customHeight="true" outlineLevel="0" collapsed="false">
      <c r="A47" s="6" t="s">
        <v>1538</v>
      </c>
      <c r="B47" s="0" t="s">
        <v>1539</v>
      </c>
      <c r="C47" s="0" t="s">
        <v>1540</v>
      </c>
      <c r="F47" s="0" t="n">
        <v>318</v>
      </c>
      <c r="G47" s="16" t="s">
        <v>24</v>
      </c>
    </row>
    <row r="48" customFormat="false" ht="12" hidden="false" customHeight="true" outlineLevel="0" collapsed="false">
      <c r="A48" s="6" t="s">
        <v>1541</v>
      </c>
      <c r="B48" s="0" t="s">
        <v>424</v>
      </c>
      <c r="C48" s="0" t="s">
        <v>1542</v>
      </c>
      <c r="F48" s="0" t="n">
        <v>651</v>
      </c>
      <c r="G48" s="16" t="s">
        <v>10</v>
      </c>
    </row>
    <row r="49" customFormat="false" ht="12" hidden="false" customHeight="true" outlineLevel="0" collapsed="false">
      <c r="A49" s="60" t="s">
        <v>1543</v>
      </c>
      <c r="B49" s="60" t="s">
        <v>314</v>
      </c>
      <c r="C49" s="60" t="s">
        <v>1544</v>
      </c>
      <c r="D49" s="60"/>
      <c r="E49" s="60"/>
      <c r="F49" s="60" t="n">
        <v>287</v>
      </c>
      <c r="G49" s="60" t="s">
        <v>24</v>
      </c>
    </row>
    <row r="50" s="6" customFormat="true" ht="12" hidden="false" customHeight="true" outlineLevel="0" collapsed="false">
      <c r="A50" s="60" t="s">
        <v>1545</v>
      </c>
      <c r="B50" s="60" t="s">
        <v>314</v>
      </c>
      <c r="C50" s="60" t="s">
        <v>1546</v>
      </c>
      <c r="D50" s="60"/>
      <c r="E50" s="60"/>
      <c r="F50" s="60" t="n">
        <v>288</v>
      </c>
      <c r="G50" s="60" t="s">
        <v>24</v>
      </c>
      <c r="H50" s="0"/>
    </row>
    <row r="51" customFormat="false" ht="12" hidden="false" customHeight="true" outlineLevel="0" collapsed="false">
      <c r="A51" s="0" t="s">
        <v>1547</v>
      </c>
      <c r="B51" s="0" t="s">
        <v>1548</v>
      </c>
      <c r="C51" s="0" t="s">
        <v>1549</v>
      </c>
      <c r="F51" s="0" t="n">
        <v>335</v>
      </c>
      <c r="G51" s="0" t="s">
        <v>10</v>
      </c>
    </row>
    <row r="52" customFormat="false" ht="12" hidden="false" customHeight="true" outlineLevel="0" collapsed="false">
      <c r="A52" s="0" t="s">
        <v>1550</v>
      </c>
      <c r="B52" s="0" t="s">
        <v>1551</v>
      </c>
      <c r="C52" s="0" t="s">
        <v>1552</v>
      </c>
      <c r="F52" s="0" t="n">
        <v>367</v>
      </c>
      <c r="G52" s="0" t="s">
        <v>10</v>
      </c>
    </row>
    <row r="53" customFormat="false" ht="12" hidden="false" customHeight="true" outlineLevel="0" collapsed="false">
      <c r="A53" s="0" t="s">
        <v>1553</v>
      </c>
      <c r="B53" s="0" t="s">
        <v>1554</v>
      </c>
      <c r="C53" s="0" t="s">
        <v>1555</v>
      </c>
      <c r="F53" s="0" t="n">
        <v>262</v>
      </c>
      <c r="G53" s="0" t="s">
        <v>10</v>
      </c>
    </row>
    <row r="54" customFormat="false" ht="12" hidden="false" customHeight="true" outlineLevel="0" collapsed="false">
      <c r="A54" s="6" t="s">
        <v>1556</v>
      </c>
      <c r="B54" s="0" t="s">
        <v>1557</v>
      </c>
      <c r="C54" s="0" t="s">
        <v>1558</v>
      </c>
      <c r="F54" s="0" t="n">
        <v>187</v>
      </c>
      <c r="G54" s="0" t="s">
        <v>10</v>
      </c>
    </row>
    <row r="55" customFormat="false" ht="12" hidden="false" customHeight="true" outlineLevel="0" collapsed="false">
      <c r="A55" s="6" t="s">
        <v>1559</v>
      </c>
      <c r="B55" s="0" t="s">
        <v>400</v>
      </c>
      <c r="C55" s="6" t="s">
        <v>1560</v>
      </c>
      <c r="F55" s="6" t="n">
        <v>404</v>
      </c>
      <c r="G55" s="0" t="s">
        <v>10</v>
      </c>
    </row>
    <row r="56" customFormat="false" ht="12" hidden="false" customHeight="true" outlineLevel="0" collapsed="false">
      <c r="A56" s="0" t="s">
        <v>1561</v>
      </c>
      <c r="B56" s="31" t="s">
        <v>188</v>
      </c>
      <c r="C56" s="0" t="s">
        <v>1562</v>
      </c>
      <c r="F56" s="15" t="n">
        <v>231</v>
      </c>
      <c r="G56" s="0" t="s">
        <v>24</v>
      </c>
    </row>
    <row r="57" customFormat="false" ht="12" hidden="false" customHeight="true" outlineLevel="0" collapsed="false">
      <c r="A57" s="0" t="s">
        <v>1563</v>
      </c>
      <c r="B57" s="0" t="s">
        <v>1564</v>
      </c>
      <c r="C57" s="0" t="s">
        <v>1565</v>
      </c>
      <c r="F57" s="0" t="n">
        <v>134</v>
      </c>
      <c r="G57" s="0" t="s">
        <v>24</v>
      </c>
    </row>
    <row r="58" customFormat="false" ht="12" hidden="false" customHeight="true" outlineLevel="0" collapsed="false">
      <c r="A58" s="60" t="s">
        <v>1566</v>
      </c>
      <c r="B58" s="60" t="s">
        <v>1567</v>
      </c>
      <c r="C58" s="60" t="s">
        <v>1568</v>
      </c>
      <c r="D58" s="60"/>
      <c r="E58" s="60"/>
      <c r="F58" s="60" t="n">
        <v>190</v>
      </c>
      <c r="G58" s="60" t="s">
        <v>10</v>
      </c>
    </row>
    <row r="59" customFormat="false" ht="12" hidden="false" customHeight="true" outlineLevel="0" collapsed="false">
      <c r="A59" s="0" t="s">
        <v>1569</v>
      </c>
      <c r="B59" s="0" t="s">
        <v>1570</v>
      </c>
      <c r="C59" s="0" t="s">
        <v>1571</v>
      </c>
      <c r="F59" s="0" t="n">
        <v>1134</v>
      </c>
      <c r="G59" s="0" t="s">
        <v>10</v>
      </c>
    </row>
    <row r="60" s="16" customFormat="true" ht="12" hidden="false" customHeight="true" outlineLevel="0" collapsed="false">
      <c r="A60" s="0" t="s">
        <v>1572</v>
      </c>
      <c r="B60" s="0" t="s">
        <v>1573</v>
      </c>
      <c r="C60" s="0" t="s">
        <v>1574</v>
      </c>
      <c r="D60" s="0"/>
      <c r="E60" s="0"/>
      <c r="F60" s="0" t="n">
        <v>156</v>
      </c>
      <c r="G60" s="0" t="s">
        <v>10</v>
      </c>
      <c r="H60" s="0"/>
    </row>
    <row r="61" customFormat="false" ht="12" hidden="false" customHeight="true" outlineLevel="0" collapsed="false">
      <c r="A61" s="0" t="s">
        <v>1575</v>
      </c>
      <c r="B61" s="0" t="s">
        <v>1576</v>
      </c>
      <c r="C61" s="0" t="s">
        <v>1577</v>
      </c>
      <c r="F61" s="0" t="n">
        <v>253</v>
      </c>
      <c r="G61" s="0" t="s">
        <v>10</v>
      </c>
    </row>
    <row r="62" customFormat="false" ht="12" hidden="false" customHeight="true" outlineLevel="0" collapsed="false">
      <c r="A62" s="6" t="s">
        <v>1578</v>
      </c>
      <c r="B62" s="0" t="s">
        <v>87</v>
      </c>
      <c r="C62" s="0" t="s">
        <v>88</v>
      </c>
      <c r="F62" s="0" t="n">
        <v>143</v>
      </c>
      <c r="G62" s="16" t="s">
        <v>10</v>
      </c>
    </row>
    <row r="63" customFormat="false" ht="12" hidden="false" customHeight="true" outlineLevel="0" collapsed="false">
      <c r="A63" s="0" t="s">
        <v>1579</v>
      </c>
      <c r="B63" s="0" t="s">
        <v>259</v>
      </c>
      <c r="C63" s="0" t="s">
        <v>1580</v>
      </c>
      <c r="F63" s="0" t="n">
        <v>316</v>
      </c>
      <c r="G63" s="16" t="s">
        <v>10</v>
      </c>
    </row>
    <row r="64" customFormat="false" ht="12" hidden="false" customHeight="true" outlineLevel="0" collapsed="false">
      <c r="A64" s="6" t="s">
        <v>1581</v>
      </c>
      <c r="B64" s="0" t="s">
        <v>1582</v>
      </c>
      <c r="C64" s="0" t="s">
        <v>1583</v>
      </c>
      <c r="F64" s="0" t="n">
        <v>286</v>
      </c>
      <c r="G64" s="0" t="s">
        <v>10</v>
      </c>
    </row>
    <row r="65" customFormat="false" ht="12" hidden="false" customHeight="true" outlineLevel="0" collapsed="false">
      <c r="A65" s="6" t="s">
        <v>1584</v>
      </c>
      <c r="B65" s="0" t="s">
        <v>1585</v>
      </c>
      <c r="C65" s="6" t="s">
        <v>1586</v>
      </c>
      <c r="F65" s="0" t="n">
        <v>165</v>
      </c>
      <c r="G65" s="16" t="s">
        <v>10</v>
      </c>
    </row>
    <row r="66" customFormat="false" ht="12" hidden="false" customHeight="true" outlineLevel="0" collapsed="false">
      <c r="A66" s="0" t="s">
        <v>1587</v>
      </c>
      <c r="B66" s="0" t="s">
        <v>1588</v>
      </c>
      <c r="C66" s="0" t="s">
        <v>1589</v>
      </c>
      <c r="F66" s="0" t="n">
        <v>94</v>
      </c>
      <c r="G66" s="0" t="s">
        <v>390</v>
      </c>
    </row>
    <row r="67" s="16" customFormat="true" ht="12" hidden="false" customHeight="true" outlineLevel="0" collapsed="false">
      <c r="A67" s="0" t="s">
        <v>1590</v>
      </c>
      <c r="B67" s="0" t="s">
        <v>185</v>
      </c>
      <c r="C67" s="0" t="s">
        <v>1591</v>
      </c>
      <c r="D67" s="0"/>
      <c r="E67" s="0"/>
      <c r="F67" s="0" t="n">
        <v>426</v>
      </c>
      <c r="G67" s="0" t="s">
        <v>10</v>
      </c>
      <c r="H67" s="0"/>
    </row>
    <row r="68" customFormat="false" ht="12" hidden="false" customHeight="true" outlineLevel="0" collapsed="false">
      <c r="A68" s="6" t="s">
        <v>1592</v>
      </c>
      <c r="B68" s="0" t="s">
        <v>1593</v>
      </c>
      <c r="C68" s="0" t="s">
        <v>1594</v>
      </c>
      <c r="F68" s="0" t="n">
        <v>386</v>
      </c>
      <c r="G68" s="16" t="s">
        <v>24</v>
      </c>
    </row>
    <row r="69" customFormat="false" ht="12" hidden="false" customHeight="true" outlineLevel="0" collapsed="false">
      <c r="A69" s="0" t="s">
        <v>1595</v>
      </c>
      <c r="B69" s="0" t="s">
        <v>1596</v>
      </c>
      <c r="C69" s="0" t="s">
        <v>1597</v>
      </c>
      <c r="F69" s="0" t="n">
        <v>603</v>
      </c>
      <c r="G69" s="0" t="s">
        <v>10</v>
      </c>
    </row>
    <row r="70" customFormat="false" ht="12" hidden="false" customHeight="true" outlineLevel="0" collapsed="false">
      <c r="A70" s="0" t="s">
        <v>1598</v>
      </c>
      <c r="B70" s="0" t="s">
        <v>1599</v>
      </c>
      <c r="C70" s="0" t="s">
        <v>1600</v>
      </c>
      <c r="F70" s="0" t="n">
        <v>200</v>
      </c>
      <c r="G70" s="0" t="s">
        <v>10</v>
      </c>
    </row>
    <row r="71" customFormat="false" ht="12" hidden="false" customHeight="true" outlineLevel="0" collapsed="false">
      <c r="A71" s="0" t="s">
        <v>1601</v>
      </c>
      <c r="B71" s="0" t="s">
        <v>169</v>
      </c>
      <c r="C71" s="0" t="s">
        <v>1602</v>
      </c>
      <c r="F71" s="0" t="n">
        <v>318</v>
      </c>
      <c r="G71" s="0" t="s">
        <v>10</v>
      </c>
    </row>
    <row r="72" customFormat="false" ht="12" hidden="false" customHeight="true" outlineLevel="0" collapsed="false">
      <c r="A72" s="6" t="s">
        <v>1603</v>
      </c>
      <c r="B72" s="0" t="s">
        <v>139</v>
      </c>
      <c r="C72" s="0" t="s">
        <v>1604</v>
      </c>
      <c r="G72" s="16" t="s">
        <v>10</v>
      </c>
    </row>
    <row r="73" customFormat="false" ht="12" hidden="false" customHeight="true" outlineLevel="0" collapsed="false">
      <c r="A73" s="6" t="s">
        <v>1605</v>
      </c>
      <c r="B73" s="0" t="s">
        <v>1606</v>
      </c>
      <c r="C73" s="0" t="s">
        <v>1607</v>
      </c>
      <c r="F73" s="62" t="n">
        <v>166</v>
      </c>
      <c r="G73" s="16" t="s">
        <v>58</v>
      </c>
    </row>
    <row r="74" customFormat="false" ht="12" hidden="false" customHeight="true" outlineLevel="0" collapsed="false">
      <c r="A74" s="6" t="s">
        <v>1608</v>
      </c>
      <c r="B74" s="0" t="s">
        <v>1609</v>
      </c>
      <c r="C74" s="0" t="s">
        <v>1610</v>
      </c>
      <c r="F74" s="0" t="n">
        <v>414</v>
      </c>
      <c r="G74" s="16" t="s">
        <v>24</v>
      </c>
    </row>
    <row r="75" customFormat="false" ht="12" hidden="false" customHeight="true" outlineLevel="0" collapsed="false">
      <c r="A75" s="0" t="s">
        <v>1611</v>
      </c>
      <c r="B75" s="0" t="s">
        <v>1612</v>
      </c>
      <c r="C75" s="0" t="s">
        <v>1613</v>
      </c>
      <c r="F75" s="0" t="n">
        <v>168</v>
      </c>
      <c r="G75" s="0" t="s">
        <v>10</v>
      </c>
    </row>
    <row r="76" customFormat="false" ht="12" hidden="false" customHeight="true" outlineLevel="0" collapsed="false">
      <c r="A76" s="0" t="s">
        <v>1614</v>
      </c>
      <c r="B76" s="0" t="s">
        <v>1615</v>
      </c>
      <c r="C76" s="0" t="s">
        <v>1616</v>
      </c>
      <c r="F76" s="0" t="n">
        <v>206</v>
      </c>
      <c r="G76" s="0" t="s">
        <v>24</v>
      </c>
    </row>
    <row r="77" customFormat="false" ht="12" hidden="false" customHeight="true" outlineLevel="0" collapsed="false">
      <c r="A77" s="0" t="s">
        <v>1617</v>
      </c>
      <c r="B77" s="0" t="s">
        <v>1308</v>
      </c>
      <c r="C77" s="0" t="s">
        <v>1618</v>
      </c>
      <c r="F77" s="0" t="n">
        <v>500</v>
      </c>
      <c r="G77" s="0" t="s">
        <v>10</v>
      </c>
    </row>
    <row r="78" customFormat="false" ht="12" hidden="false" customHeight="true" outlineLevel="0" collapsed="false">
      <c r="A78" s="0" t="s">
        <v>1619</v>
      </c>
      <c r="B78" s="0" t="s">
        <v>1620</v>
      </c>
      <c r="C78" s="0" t="s">
        <v>1621</v>
      </c>
      <c r="F78" s="0" t="n">
        <v>360</v>
      </c>
      <c r="G78" s="0" t="s">
        <v>10</v>
      </c>
    </row>
    <row r="79" customFormat="false" ht="12" hidden="false" customHeight="true" outlineLevel="0" collapsed="false">
      <c r="A79" s="6" t="s">
        <v>1622</v>
      </c>
      <c r="B79" s="6" t="s">
        <v>1623</v>
      </c>
      <c r="C79" s="6" t="s">
        <v>1624</v>
      </c>
      <c r="F79" s="6" t="n">
        <v>342</v>
      </c>
      <c r="G79" s="0" t="s">
        <v>10</v>
      </c>
    </row>
    <row r="80" customFormat="false" ht="12" hidden="false" customHeight="true" outlineLevel="0" collapsed="false">
      <c r="A80" s="6" t="s">
        <v>1625</v>
      </c>
      <c r="B80" s="0" t="s">
        <v>1626</v>
      </c>
      <c r="C80" s="0" t="s">
        <v>1627</v>
      </c>
      <c r="F80" s="0" t="n">
        <v>372</v>
      </c>
      <c r="G80" s="16" t="s">
        <v>24</v>
      </c>
    </row>
    <row r="81" customFormat="false" ht="12" hidden="false" customHeight="true" outlineLevel="0" collapsed="false">
      <c r="A81" s="0" t="s">
        <v>1628</v>
      </c>
      <c r="B81" s="0" t="s">
        <v>1629</v>
      </c>
      <c r="C81" s="0" t="s">
        <v>1630</v>
      </c>
      <c r="F81" s="0" t="n">
        <v>225</v>
      </c>
      <c r="G81" s="0" t="s">
        <v>10</v>
      </c>
    </row>
    <row r="82" customFormat="false" ht="12" hidden="false" customHeight="true" outlineLevel="0" collapsed="false">
      <c r="A82" s="6" t="s">
        <v>1631</v>
      </c>
      <c r="B82" s="16" t="s">
        <v>1632</v>
      </c>
      <c r="C82" s="16" t="s">
        <v>1633</v>
      </c>
      <c r="D82" s="16"/>
      <c r="E82" s="16"/>
      <c r="F82" s="16" t="n">
        <v>176</v>
      </c>
      <c r="G82" s="0" t="s">
        <v>1634</v>
      </c>
      <c r="H82" s="16"/>
    </row>
    <row r="83" customFormat="false" ht="12" hidden="false" customHeight="true" outlineLevel="0" collapsed="false">
      <c r="A83" s="6" t="s">
        <v>1635</v>
      </c>
      <c r="B83" s="6" t="s">
        <v>1636</v>
      </c>
      <c r="C83" s="6" t="s">
        <v>1637</v>
      </c>
      <c r="F83" s="6" t="n">
        <v>184</v>
      </c>
      <c r="G83" s="0" t="s">
        <v>10</v>
      </c>
    </row>
    <row r="84" customFormat="false" ht="12" hidden="false" customHeight="true" outlineLevel="0" collapsed="false">
      <c r="A84" s="0" t="s">
        <v>1638</v>
      </c>
      <c r="B84" s="0" t="s">
        <v>1639</v>
      </c>
      <c r="C84" s="0" t="s">
        <v>1640</v>
      </c>
      <c r="F84" s="0" t="n">
        <v>279</v>
      </c>
      <c r="G84" s="0" t="s">
        <v>1519</v>
      </c>
    </row>
    <row r="85" customFormat="false" ht="12" hidden="false" customHeight="true" outlineLevel="0" collapsed="false">
      <c r="A85" s="0" t="s">
        <v>1641</v>
      </c>
      <c r="B85" s="0" t="s">
        <v>1318</v>
      </c>
      <c r="C85" s="0" t="s">
        <v>1642</v>
      </c>
      <c r="F85" s="0" t="n">
        <v>246</v>
      </c>
      <c r="G85" s="0" t="s">
        <v>10</v>
      </c>
    </row>
    <row r="86" customFormat="false" ht="12" hidden="false" customHeight="true" outlineLevel="0" collapsed="false">
      <c r="A86" s="0" t="s">
        <v>303</v>
      </c>
      <c r="B86" s="0" t="s">
        <v>1643</v>
      </c>
      <c r="C86" s="0" t="s">
        <v>1644</v>
      </c>
      <c r="F86" s="0" t="n">
        <v>294</v>
      </c>
      <c r="G86" s="0" t="s">
        <v>1519</v>
      </c>
    </row>
    <row r="87" customFormat="false" ht="12" hidden="false" customHeight="true" outlineLevel="0" collapsed="false">
      <c r="A87" s="0" t="s">
        <v>1645</v>
      </c>
      <c r="B87" s="0" t="s">
        <v>1322</v>
      </c>
      <c r="C87" s="0" t="s">
        <v>1646</v>
      </c>
      <c r="F87" s="0" t="n">
        <v>471</v>
      </c>
      <c r="G87" s="0" t="s">
        <v>10</v>
      </c>
    </row>
    <row r="88" customFormat="false" ht="12" hidden="false" customHeight="true" outlineLevel="0" collapsed="false">
      <c r="A88" s="0" t="s">
        <v>1647</v>
      </c>
      <c r="B88" s="0" t="s">
        <v>1322</v>
      </c>
      <c r="C88" s="0" t="s">
        <v>1648</v>
      </c>
      <c r="F88" s="0" t="n">
        <v>471</v>
      </c>
      <c r="G88" s="0" t="s">
        <v>10</v>
      </c>
    </row>
    <row r="89" customFormat="false" ht="12" hidden="false" customHeight="true" outlineLevel="0" collapsed="false">
      <c r="A89" s="0" t="s">
        <v>1649</v>
      </c>
      <c r="B89" s="0" t="s">
        <v>1322</v>
      </c>
      <c r="C89" s="0" t="s">
        <v>1650</v>
      </c>
      <c r="F89" s="0" t="n">
        <v>351</v>
      </c>
      <c r="G89" s="0" t="s">
        <v>10</v>
      </c>
    </row>
    <row r="90" customFormat="false" ht="12" hidden="false" customHeight="true" outlineLevel="0" collapsed="false">
      <c r="A90" s="0" t="s">
        <v>1651</v>
      </c>
      <c r="B90" s="0" t="s">
        <v>1322</v>
      </c>
      <c r="C90" s="0" t="s">
        <v>1652</v>
      </c>
      <c r="F90" s="0" t="n">
        <v>459</v>
      </c>
      <c r="G90" s="0" t="s">
        <v>10</v>
      </c>
    </row>
    <row r="91" customFormat="false" ht="12" hidden="false" customHeight="true" outlineLevel="0" collapsed="false">
      <c r="A91" s="0" t="s">
        <v>1653</v>
      </c>
      <c r="B91" s="0" t="s">
        <v>1322</v>
      </c>
      <c r="C91" s="0" t="s">
        <v>1654</v>
      </c>
      <c r="F91" s="0" t="n">
        <v>402</v>
      </c>
      <c r="G91" s="0" t="s">
        <v>10</v>
      </c>
    </row>
    <row r="92" customFormat="false" ht="12" hidden="false" customHeight="true" outlineLevel="0" collapsed="false">
      <c r="A92" s="0" t="s">
        <v>1655</v>
      </c>
      <c r="B92" s="0" t="s">
        <v>1322</v>
      </c>
      <c r="C92" s="0" t="s">
        <v>1656</v>
      </c>
      <c r="F92" s="0" t="n">
        <v>481</v>
      </c>
      <c r="G92" s="0" t="s">
        <v>10</v>
      </c>
    </row>
    <row r="93" customFormat="false" ht="12" hidden="false" customHeight="true" outlineLevel="0" collapsed="false">
      <c r="A93" s="0" t="s">
        <v>1657</v>
      </c>
      <c r="B93" s="0" t="s">
        <v>1322</v>
      </c>
      <c r="C93" s="0" t="s">
        <v>1658</v>
      </c>
      <c r="F93" s="0" t="n">
        <v>312</v>
      </c>
      <c r="G93" s="0" t="s">
        <v>10</v>
      </c>
    </row>
    <row r="94" customFormat="false" ht="12" hidden="false" customHeight="true" outlineLevel="0" collapsed="false">
      <c r="A94" s="0" t="s">
        <v>1659</v>
      </c>
      <c r="B94" s="0" t="s">
        <v>1660</v>
      </c>
      <c r="C94" s="0" t="s">
        <v>1661</v>
      </c>
      <c r="F94" s="0" t="n">
        <v>197</v>
      </c>
      <c r="G94" s="0" t="s">
        <v>10</v>
      </c>
    </row>
    <row r="95" customFormat="false" ht="12" hidden="false" customHeight="true" outlineLevel="0" collapsed="false">
      <c r="A95" s="0" t="s">
        <v>1662</v>
      </c>
      <c r="B95" s="0" t="s">
        <v>1663</v>
      </c>
      <c r="C95" s="0" t="s">
        <v>1664</v>
      </c>
      <c r="F95" s="0" t="n">
        <v>627</v>
      </c>
      <c r="G95" s="16" t="s">
        <v>24</v>
      </c>
    </row>
    <row r="96" customFormat="false" ht="12" hidden="false" customHeight="true" outlineLevel="0" collapsed="false">
      <c r="A96" s="0" t="s">
        <v>1665</v>
      </c>
      <c r="B96" s="0" t="s">
        <v>1666</v>
      </c>
      <c r="C96" s="0" t="s">
        <v>1667</v>
      </c>
      <c r="F96" s="0" t="n">
        <v>573</v>
      </c>
      <c r="G96" s="0" t="s">
        <v>10</v>
      </c>
    </row>
    <row r="97" customFormat="false" ht="12" hidden="false" customHeight="true" outlineLevel="0" collapsed="false">
      <c r="A97" s="0" t="s">
        <v>1668</v>
      </c>
      <c r="B97" s="0" t="s">
        <v>543</v>
      </c>
      <c r="C97" s="0" t="s">
        <v>1669</v>
      </c>
      <c r="F97" s="0" t="n">
        <v>840</v>
      </c>
      <c r="G97" s="0" t="s">
        <v>58</v>
      </c>
    </row>
    <row r="98" customFormat="false" ht="12" hidden="false" customHeight="true" outlineLevel="0" collapsed="false">
      <c r="A98" s="0" t="s">
        <v>1170</v>
      </c>
      <c r="B98" s="0" t="s">
        <v>543</v>
      </c>
      <c r="C98" s="0" t="s">
        <v>1670</v>
      </c>
      <c r="F98" s="0" t="n">
        <v>896</v>
      </c>
      <c r="G98" s="0" t="s">
        <v>58</v>
      </c>
    </row>
    <row r="99" customFormat="false" ht="24" hidden="false" customHeight="true" outlineLevel="0" collapsed="false">
      <c r="A99" s="6" t="s">
        <v>1671</v>
      </c>
      <c r="B99" s="0" t="s">
        <v>1672</v>
      </c>
      <c r="C99" s="0" t="s">
        <v>1673</v>
      </c>
      <c r="D99" s="61"/>
      <c r="E99" s="61"/>
      <c r="F99" s="0" t="n">
        <v>760</v>
      </c>
      <c r="G99" s="6" t="s">
        <v>58</v>
      </c>
      <c r="H99" s="6"/>
    </row>
    <row r="100" customFormat="false" ht="12" hidden="false" customHeight="true" outlineLevel="0" collapsed="false">
      <c r="A100" s="6" t="s">
        <v>1674</v>
      </c>
      <c r="B100" s="16" t="s">
        <v>1675</v>
      </c>
      <c r="C100" s="0" t="s">
        <v>1676</v>
      </c>
      <c r="E100" s="9"/>
      <c r="F100" s="0" t="n">
        <v>198</v>
      </c>
      <c r="G100" s="16" t="s">
        <v>10</v>
      </c>
    </row>
    <row r="101" customFormat="false" ht="12" hidden="false" customHeight="true" outlineLevel="0" collapsed="false">
      <c r="A101" s="6" t="s">
        <v>1677</v>
      </c>
      <c r="B101" s="0" t="s">
        <v>1678</v>
      </c>
      <c r="C101" s="0" t="s">
        <v>1679</v>
      </c>
      <c r="F101" s="0" t="n">
        <v>294</v>
      </c>
      <c r="G101" s="16" t="s">
        <v>10</v>
      </c>
    </row>
    <row r="102" customFormat="false" ht="12" hidden="false" customHeight="true" outlineLevel="0" collapsed="false">
      <c r="A102" s="6" t="s">
        <v>1680</v>
      </c>
      <c r="B102" s="0" t="s">
        <v>1681</v>
      </c>
      <c r="C102" s="0" t="s">
        <v>1682</v>
      </c>
      <c r="G102" s="16" t="s">
        <v>10</v>
      </c>
    </row>
    <row r="103" customFormat="false" ht="12" hidden="false" customHeight="true" outlineLevel="0" collapsed="false">
      <c r="A103" s="0" t="s">
        <v>1683</v>
      </c>
      <c r="B103" s="0" t="s">
        <v>1684</v>
      </c>
      <c r="C103" s="0" t="s">
        <v>1685</v>
      </c>
      <c r="F103" s="0" t="n">
        <v>414</v>
      </c>
      <c r="G103" s="0" t="s">
        <v>1686</v>
      </c>
    </row>
    <row r="104" customFormat="false" ht="12" hidden="false" customHeight="true" outlineLevel="0" collapsed="false">
      <c r="A104" s="6" t="s">
        <v>1687</v>
      </c>
      <c r="B104" s="0" t="s">
        <v>1688</v>
      </c>
      <c r="C104" s="0" t="s">
        <v>1540</v>
      </c>
      <c r="F104" s="0" t="n">
        <v>448</v>
      </c>
      <c r="G104" s="0" t="s">
        <v>24</v>
      </c>
    </row>
    <row r="105" customFormat="false" ht="12" hidden="false" customHeight="true" outlineLevel="0" collapsed="false">
      <c r="A105" s="6" t="s">
        <v>1689</v>
      </c>
      <c r="B105" s="0" t="s">
        <v>84</v>
      </c>
      <c r="C105" s="6" t="s">
        <v>1326</v>
      </c>
      <c r="F105" s="6" t="n">
        <v>249</v>
      </c>
      <c r="G105" s="0" t="s">
        <v>10</v>
      </c>
    </row>
    <row r="106" customFormat="false" ht="12" hidden="false" customHeight="true" outlineLevel="0" collapsed="false">
      <c r="A106" s="0" t="s">
        <v>1690</v>
      </c>
      <c r="B106" s="0" t="s">
        <v>115</v>
      </c>
      <c r="C106" s="0" t="s">
        <v>1691</v>
      </c>
      <c r="F106" s="0" t="n">
        <v>303</v>
      </c>
      <c r="G106" s="0" t="s">
        <v>58</v>
      </c>
    </row>
    <row r="107" s="16" customFormat="true" ht="12" hidden="false" customHeight="true" outlineLevel="0" collapsed="false">
      <c r="A107" s="0" t="s">
        <v>1692</v>
      </c>
      <c r="B107" s="0" t="s">
        <v>1693</v>
      </c>
      <c r="C107" s="0" t="s">
        <v>1694</v>
      </c>
      <c r="D107" s="0"/>
      <c r="E107" s="0"/>
      <c r="F107" s="0" t="n">
        <v>860</v>
      </c>
      <c r="G107" s="16" t="s">
        <v>24</v>
      </c>
      <c r="H107" s="0"/>
    </row>
    <row r="108" customFormat="false" ht="15" hidden="false" customHeight="true" outlineLevel="0" collapsed="false">
      <c r="A108" s="0" t="s">
        <v>1695</v>
      </c>
      <c r="B108" s="0" t="s">
        <v>1696</v>
      </c>
      <c r="C108" s="0" t="s">
        <v>1540</v>
      </c>
      <c r="F108" s="0" t="n">
        <v>224</v>
      </c>
      <c r="G108" s="0" t="s">
        <v>10</v>
      </c>
    </row>
    <row r="109" customFormat="false" ht="12" hidden="false" customHeight="true" outlineLevel="0" collapsed="false">
      <c r="A109" s="0" t="s">
        <v>1697</v>
      </c>
      <c r="B109" s="0" t="s">
        <v>1698</v>
      </c>
      <c r="C109" s="0" t="s">
        <v>1699</v>
      </c>
      <c r="F109" s="0" t="n">
        <v>274</v>
      </c>
      <c r="G109" s="0" t="s">
        <v>10</v>
      </c>
    </row>
    <row r="110" customFormat="false" ht="12" hidden="false" customHeight="true" outlineLevel="0" collapsed="false">
      <c r="A110" s="63" t="s">
        <v>1700</v>
      </c>
      <c r="B110" s="64" t="s">
        <v>988</v>
      </c>
      <c r="C110" s="64" t="s">
        <v>1701</v>
      </c>
      <c r="D110" s="64"/>
      <c r="E110" s="64"/>
      <c r="F110" s="64" t="n">
        <v>747</v>
      </c>
      <c r="G110" s="64" t="s">
        <v>24</v>
      </c>
    </row>
    <row r="111" customFormat="false" ht="12" hidden="false" customHeight="true" outlineLevel="0" collapsed="false">
      <c r="A111" s="0" t="s">
        <v>1702</v>
      </c>
      <c r="B111" s="0" t="s">
        <v>9</v>
      </c>
      <c r="C111" s="0" t="s">
        <v>1703</v>
      </c>
      <c r="F111" s="0" t="n">
        <v>138</v>
      </c>
      <c r="G111" s="0" t="s">
        <v>10</v>
      </c>
    </row>
    <row r="112" customFormat="false" ht="12" hidden="false" customHeight="true" outlineLevel="0" collapsed="false">
      <c r="A112" s="6" t="s">
        <v>1704</v>
      </c>
      <c r="B112" s="0" t="s">
        <v>1705</v>
      </c>
      <c r="C112" s="0" t="s">
        <v>1706</v>
      </c>
      <c r="F112" s="0" t="n">
        <v>428</v>
      </c>
      <c r="G112" s="16" t="s">
        <v>24</v>
      </c>
    </row>
    <row r="113" customFormat="false" ht="12" hidden="false" customHeight="true" outlineLevel="0" collapsed="false">
      <c r="A113" s="6" t="s">
        <v>1707</v>
      </c>
      <c r="B113" s="0" t="s">
        <v>1708</v>
      </c>
      <c r="C113" s="0" t="s">
        <v>1709</v>
      </c>
      <c r="G113" s="0" t="s">
        <v>10</v>
      </c>
    </row>
    <row r="114" customFormat="false" ht="12" hidden="false" customHeight="true" outlineLevel="0" collapsed="false">
      <c r="A114" s="6" t="s">
        <v>1710</v>
      </c>
      <c r="B114" s="0" t="s">
        <v>1711</v>
      </c>
      <c r="C114" s="0" t="s">
        <v>1712</v>
      </c>
      <c r="F114" s="0" t="n">
        <v>526</v>
      </c>
      <c r="G114" s="0" t="s">
        <v>10</v>
      </c>
    </row>
    <row r="115" customFormat="false" ht="12" hidden="false" customHeight="true" outlineLevel="0" collapsed="false">
      <c r="A115" s="0" t="s">
        <v>1713</v>
      </c>
      <c r="B115" s="0" t="s">
        <v>1714</v>
      </c>
      <c r="C115" s="0" t="s">
        <v>1715</v>
      </c>
      <c r="F115" s="0" t="n">
        <v>939</v>
      </c>
      <c r="G115" s="0" t="s">
        <v>58</v>
      </c>
    </row>
    <row r="116" customFormat="false" ht="12" hidden="false" customHeight="true" outlineLevel="0" collapsed="false">
      <c r="A116" s="0" t="s">
        <v>1716</v>
      </c>
      <c r="B116" s="0" t="s">
        <v>1717</v>
      </c>
      <c r="C116" s="0" t="s">
        <v>1718</v>
      </c>
      <c r="F116" s="0" t="n">
        <v>186</v>
      </c>
      <c r="G116" s="0" t="s">
        <v>10</v>
      </c>
    </row>
    <row r="117" customFormat="false" ht="12" hidden="false" customHeight="true" outlineLevel="0" collapsed="false">
      <c r="A117" s="6" t="s">
        <v>1719</v>
      </c>
      <c r="B117" s="16" t="s">
        <v>1720</v>
      </c>
      <c r="C117" s="16" t="s">
        <v>1721</v>
      </c>
      <c r="D117" s="16"/>
      <c r="E117" s="16"/>
      <c r="F117" s="16" t="n">
        <v>202</v>
      </c>
      <c r="G117" s="6" t="s">
        <v>24</v>
      </c>
      <c r="H117" s="16"/>
    </row>
    <row r="118" customFormat="false" ht="12" hidden="false" customHeight="true" outlineLevel="0" collapsed="false">
      <c r="A118" s="0" t="s">
        <v>1722</v>
      </c>
      <c r="B118" s="0" t="s">
        <v>1723</v>
      </c>
      <c r="C118" s="0" t="s">
        <v>1724</v>
      </c>
      <c r="F118" s="0" t="n">
        <v>361</v>
      </c>
      <c r="G118" s="0" t="s">
        <v>10</v>
      </c>
    </row>
    <row r="119" customFormat="false" ht="12" hidden="false" customHeight="true" outlineLevel="0" collapsed="false">
      <c r="A119" s="6" t="s">
        <v>1725</v>
      </c>
      <c r="B119" s="0" t="s">
        <v>1726</v>
      </c>
      <c r="C119" s="6" t="s">
        <v>1540</v>
      </c>
      <c r="F119" s="6" t="n">
        <v>250</v>
      </c>
      <c r="G119" s="0" t="s">
        <v>58</v>
      </c>
    </row>
    <row r="120" customFormat="false" ht="12" hidden="false" customHeight="true" outlineLevel="0" collapsed="false">
      <c r="A120" s="6" t="s">
        <v>1727</v>
      </c>
      <c r="B120" s="0" t="s">
        <v>1726</v>
      </c>
      <c r="C120" s="6" t="s">
        <v>1540</v>
      </c>
      <c r="G120" s="0" t="s">
        <v>58</v>
      </c>
    </row>
    <row r="121" customFormat="false" ht="12" hidden="false" customHeight="true" outlineLevel="0" collapsed="false">
      <c r="A121" s="0" t="s">
        <v>1728</v>
      </c>
      <c r="B121" s="0" t="s">
        <v>1729</v>
      </c>
      <c r="C121" s="0" t="s">
        <v>1730</v>
      </c>
      <c r="F121" s="0" t="n">
        <v>205</v>
      </c>
      <c r="G121" s="0" t="s">
        <v>24</v>
      </c>
    </row>
    <row r="122" customFormat="false" ht="12" hidden="false" customHeight="true" outlineLevel="0" collapsed="false">
      <c r="A122" s="0" t="s">
        <v>1731</v>
      </c>
      <c r="B122" s="0" t="s">
        <v>1732</v>
      </c>
      <c r="C122" s="0" t="s">
        <v>1733</v>
      </c>
      <c r="F122" s="0" t="n">
        <v>430</v>
      </c>
      <c r="G122" s="0" t="s">
        <v>1734</v>
      </c>
    </row>
    <row r="123" customFormat="false" ht="12" hidden="false" customHeight="true" outlineLevel="0" collapsed="false">
      <c r="A123" s="0" t="s">
        <v>1735</v>
      </c>
      <c r="B123" s="0" t="s">
        <v>182</v>
      </c>
      <c r="C123" s="0" t="s">
        <v>1736</v>
      </c>
      <c r="F123" s="0" t="n">
        <v>195</v>
      </c>
      <c r="G123" s="0" t="s">
        <v>10</v>
      </c>
    </row>
    <row r="124" s="6" customFormat="true" ht="12" hidden="false" customHeight="true" outlineLevel="0" collapsed="false">
      <c r="A124" s="0" t="s">
        <v>1737</v>
      </c>
      <c r="B124" s="0" t="s">
        <v>182</v>
      </c>
      <c r="C124" s="0" t="s">
        <v>1738</v>
      </c>
      <c r="D124" s="0"/>
      <c r="E124" s="0"/>
      <c r="F124" s="0" t="n">
        <v>150</v>
      </c>
      <c r="G124" s="0" t="s">
        <v>10</v>
      </c>
      <c r="H124" s="0"/>
    </row>
    <row r="125" customFormat="false" ht="12" hidden="false" customHeight="true" outlineLevel="0" collapsed="false">
      <c r="A125" s="0" t="s">
        <v>1739</v>
      </c>
      <c r="B125" s="0" t="s">
        <v>1740</v>
      </c>
      <c r="C125" s="0" t="s">
        <v>1540</v>
      </c>
      <c r="G125" s="0" t="s">
        <v>58</v>
      </c>
    </row>
    <row r="126" customFormat="false" ht="12" hidden="false" customHeight="true" outlineLevel="0" collapsed="false">
      <c r="A126" s="6" t="s">
        <v>1741</v>
      </c>
      <c r="B126" s="0" t="s">
        <v>1742</v>
      </c>
      <c r="C126" s="0" t="s">
        <v>1743</v>
      </c>
      <c r="F126" s="0" t="n">
        <v>371</v>
      </c>
      <c r="G126" s="16" t="s">
        <v>10</v>
      </c>
    </row>
    <row r="127" customFormat="false" ht="12" hidden="false" customHeight="true" outlineLevel="0" collapsed="false">
      <c r="A127" s="6" t="s">
        <v>1744</v>
      </c>
      <c r="B127" s="0" t="s">
        <v>1745</v>
      </c>
      <c r="C127" s="0" t="s">
        <v>1746</v>
      </c>
      <c r="F127" s="62" t="n">
        <v>220</v>
      </c>
      <c r="G127" s="16" t="s">
        <v>24</v>
      </c>
    </row>
    <row r="128" customFormat="false" ht="12" hidden="false" customHeight="true" outlineLevel="0" collapsed="false">
      <c r="A128" s="0" t="s">
        <v>1747</v>
      </c>
      <c r="B128" s="0" t="s">
        <v>1748</v>
      </c>
      <c r="C128" s="0" t="s">
        <v>1749</v>
      </c>
      <c r="F128" s="0" t="n">
        <v>256</v>
      </c>
      <c r="G128" s="0" t="s">
        <v>58</v>
      </c>
    </row>
    <row r="129" customFormat="false" ht="12" hidden="false" customHeight="true" outlineLevel="0" collapsed="false">
      <c r="A129" s="0" t="s">
        <v>1750</v>
      </c>
      <c r="B129" s="0" t="s">
        <v>1748</v>
      </c>
      <c r="C129" s="0" t="s">
        <v>1751</v>
      </c>
      <c r="F129" s="0" t="n">
        <v>293</v>
      </c>
      <c r="G129" s="0" t="s">
        <v>1519</v>
      </c>
    </row>
    <row r="130" s="16" customFormat="true" ht="12" hidden="false" customHeight="true" outlineLevel="0" collapsed="false">
      <c r="A130" s="0" t="s">
        <v>1752</v>
      </c>
      <c r="B130" s="0" t="s">
        <v>1753</v>
      </c>
      <c r="C130" s="0" t="s">
        <v>1754</v>
      </c>
      <c r="D130" s="0"/>
      <c r="E130" s="0"/>
      <c r="F130" s="0" t="n">
        <v>421</v>
      </c>
      <c r="G130" s="0" t="s">
        <v>24</v>
      </c>
      <c r="H130" s="0"/>
    </row>
    <row r="131" customFormat="false" ht="12" hidden="false" customHeight="true" outlineLevel="0" collapsed="false">
      <c r="A131" s="6" t="s">
        <v>1755</v>
      </c>
      <c r="B131" s="0" t="s">
        <v>1756</v>
      </c>
      <c r="C131" s="0" t="s">
        <v>1757</v>
      </c>
      <c r="F131" s="0" t="n">
        <v>366</v>
      </c>
      <c r="G131" s="16" t="s">
        <v>10</v>
      </c>
    </row>
    <row r="132" customFormat="false" ht="12" hidden="false" customHeight="true" outlineLevel="0" collapsed="false">
      <c r="A132" s="6" t="s">
        <v>1758</v>
      </c>
      <c r="B132" s="6" t="s">
        <v>1759</v>
      </c>
      <c r="C132" s="0" t="s">
        <v>1760</v>
      </c>
      <c r="F132" s="0" t="n">
        <v>287</v>
      </c>
      <c r="G132" s="0" t="s">
        <v>24</v>
      </c>
    </row>
    <row r="133" customFormat="false" ht="12" hidden="false" customHeight="true" outlineLevel="0" collapsed="false">
      <c r="A133" s="6" t="s">
        <v>1761</v>
      </c>
      <c r="B133" s="6" t="s">
        <v>1762</v>
      </c>
      <c r="C133" s="6" t="s">
        <v>1763</v>
      </c>
      <c r="F133" s="6" t="n">
        <v>379</v>
      </c>
      <c r="G133" s="0" t="s">
        <v>10</v>
      </c>
    </row>
    <row r="134" customFormat="false" ht="12" hidden="false" customHeight="true" outlineLevel="0" collapsed="false">
      <c r="A134" s="6" t="s">
        <v>1764</v>
      </c>
      <c r="B134" s="0" t="s">
        <v>1765</v>
      </c>
      <c r="C134" s="0" t="s">
        <v>1766</v>
      </c>
      <c r="F134" s="0" t="n">
        <v>453</v>
      </c>
      <c r="G134" s="16" t="s">
        <v>10</v>
      </c>
    </row>
    <row r="135" customFormat="false" ht="12" hidden="false" customHeight="true" outlineLevel="0" collapsed="false">
      <c r="A135" s="6" t="s">
        <v>1767</v>
      </c>
      <c r="B135" s="0" t="s">
        <v>1768</v>
      </c>
      <c r="C135" s="0" t="s">
        <v>1769</v>
      </c>
      <c r="F135" s="0" t="n">
        <v>298</v>
      </c>
      <c r="G135" s="6" t="s">
        <v>58</v>
      </c>
    </row>
    <row r="136" customFormat="false" ht="12" hidden="false" customHeight="true" outlineLevel="0" collapsed="false">
      <c r="A136" s="0" t="s">
        <v>1770</v>
      </c>
      <c r="B136" s="0" t="s">
        <v>1771</v>
      </c>
      <c r="C136" s="0" t="s">
        <v>1772</v>
      </c>
      <c r="F136" s="0" t="n">
        <v>367</v>
      </c>
      <c r="G136" s="0" t="s">
        <v>58</v>
      </c>
    </row>
    <row r="137" customFormat="false" ht="12" hidden="false" customHeight="true" outlineLevel="0" collapsed="false">
      <c r="A137" s="0" t="s">
        <v>1773</v>
      </c>
      <c r="B137" s="0" t="s">
        <v>1774</v>
      </c>
      <c r="C137" s="0" t="s">
        <v>1775</v>
      </c>
      <c r="F137" s="0" t="n">
        <v>193</v>
      </c>
      <c r="G137" s="0" t="s">
        <v>390</v>
      </c>
    </row>
    <row r="138" customFormat="false" ht="12" hidden="false" customHeight="true" outlineLevel="0" collapsed="false">
      <c r="A138" s="6" t="s">
        <v>1776</v>
      </c>
      <c r="B138" s="0" t="s">
        <v>1777</v>
      </c>
      <c r="C138" s="0" t="s">
        <v>1778</v>
      </c>
      <c r="F138" s="0" t="n">
        <v>238</v>
      </c>
      <c r="G138" s="0" t="s">
        <v>24</v>
      </c>
    </row>
    <row r="139" customFormat="false" ht="12" hidden="false" customHeight="true" outlineLevel="0" collapsed="false">
      <c r="A139" s="6" t="s">
        <v>1779</v>
      </c>
      <c r="B139" s="0" t="s">
        <v>1780</v>
      </c>
      <c r="C139" s="0" t="s">
        <v>1781</v>
      </c>
      <c r="F139" s="0" t="n">
        <v>350</v>
      </c>
      <c r="G139" s="0" t="s">
        <v>58</v>
      </c>
    </row>
    <row r="140" customFormat="false" ht="12" hidden="false" customHeight="true" outlineLevel="0" collapsed="false">
      <c r="A140" s="6" t="s">
        <v>1782</v>
      </c>
      <c r="B140" s="0" t="s">
        <v>1780</v>
      </c>
      <c r="C140" s="0" t="s">
        <v>1783</v>
      </c>
      <c r="F140" s="0" t="n">
        <v>479</v>
      </c>
      <c r="G140" s="0" t="s">
        <v>58</v>
      </c>
    </row>
    <row r="141" customFormat="false" ht="12" hidden="false" customHeight="true" outlineLevel="0" collapsed="false">
      <c r="A141" s="6" t="s">
        <v>1784</v>
      </c>
      <c r="B141" s="0" t="s">
        <v>1780</v>
      </c>
      <c r="C141" s="0" t="s">
        <v>1785</v>
      </c>
      <c r="F141" s="0" t="n">
        <v>575</v>
      </c>
      <c r="G141" s="0" t="s">
        <v>58</v>
      </c>
    </row>
    <row r="142" customFormat="false" ht="12" hidden="false" customHeight="true" outlineLevel="0" collapsed="false">
      <c r="A142" s="6" t="s">
        <v>1786</v>
      </c>
      <c r="B142" s="0" t="s">
        <v>1780</v>
      </c>
      <c r="C142" s="0" t="s">
        <v>1787</v>
      </c>
      <c r="F142" s="0" t="n">
        <v>412</v>
      </c>
      <c r="G142" s="0" t="s">
        <v>58</v>
      </c>
    </row>
    <row r="143" customFormat="false" ht="12" hidden="false" customHeight="true" outlineLevel="0" collapsed="false">
      <c r="A143" s="6" t="s">
        <v>1788</v>
      </c>
      <c r="B143" s="0" t="s">
        <v>1789</v>
      </c>
      <c r="C143" s="0" t="s">
        <v>1790</v>
      </c>
      <c r="F143" s="0" t="n">
        <v>649</v>
      </c>
      <c r="G143" s="16" t="s">
        <v>10</v>
      </c>
    </row>
    <row r="144" customFormat="false" ht="12" hidden="false" customHeight="true" outlineLevel="0" collapsed="false">
      <c r="A144" s="6" t="s">
        <v>1791</v>
      </c>
      <c r="B144" s="0" t="s">
        <v>1792</v>
      </c>
      <c r="C144" s="0" t="s">
        <v>1540</v>
      </c>
      <c r="G144" s="0" t="s">
        <v>24</v>
      </c>
    </row>
    <row r="145" customFormat="false" ht="12" hidden="false" customHeight="true" outlineLevel="0" collapsed="false">
      <c r="A145" s="0" t="s">
        <v>1793</v>
      </c>
      <c r="B145" s="16" t="s">
        <v>1794</v>
      </c>
      <c r="C145" s="0" t="s">
        <v>1795</v>
      </c>
      <c r="F145" s="0" t="n">
        <v>415</v>
      </c>
      <c r="G145" s="0" t="s">
        <v>24</v>
      </c>
    </row>
    <row r="146" customFormat="false" ht="12" hidden="false" customHeight="true" outlineLevel="0" collapsed="false">
      <c r="A146" s="0" t="s">
        <v>1796</v>
      </c>
      <c r="B146" s="0" t="s">
        <v>1797</v>
      </c>
      <c r="C146" s="0" t="s">
        <v>1540</v>
      </c>
      <c r="F146" s="0" t="n">
        <v>336</v>
      </c>
      <c r="G146" s="0" t="s">
        <v>10</v>
      </c>
    </row>
    <row r="147" customFormat="false" ht="12" hidden="false" customHeight="true" outlineLevel="0" collapsed="false">
      <c r="A147" s="0" t="s">
        <v>1798</v>
      </c>
      <c r="B147" s="0" t="s">
        <v>1799</v>
      </c>
      <c r="C147" s="0" t="s">
        <v>1800</v>
      </c>
      <c r="F147" s="0" t="n">
        <v>648</v>
      </c>
      <c r="G147" s="0" t="s">
        <v>58</v>
      </c>
    </row>
    <row r="148" s="16" customFormat="true" ht="12" hidden="false" customHeight="true" outlineLevel="0" collapsed="false">
      <c r="A148" s="65" t="s">
        <v>1801</v>
      </c>
      <c r="B148" s="60" t="s">
        <v>1802</v>
      </c>
      <c r="C148" s="60" t="s">
        <v>1803</v>
      </c>
      <c r="D148" s="60"/>
      <c r="E148" s="60"/>
      <c r="F148" s="60" t="n">
        <v>256</v>
      </c>
      <c r="G148" s="60" t="s">
        <v>10</v>
      </c>
      <c r="H148" s="0"/>
    </row>
    <row r="149" customFormat="false" ht="12" hidden="false" customHeight="true" outlineLevel="0" collapsed="false">
      <c r="A149" s="0" t="s">
        <v>1804</v>
      </c>
      <c r="B149" s="0" t="s">
        <v>1805</v>
      </c>
      <c r="C149" s="0" t="s">
        <v>1806</v>
      </c>
      <c r="F149" s="0" t="n">
        <v>277</v>
      </c>
      <c r="G149" s="0" t="s">
        <v>10</v>
      </c>
    </row>
    <row r="150" customFormat="false" ht="12" hidden="false" customHeight="true" outlineLevel="0" collapsed="false">
      <c r="A150" s="6" t="s">
        <v>1807</v>
      </c>
      <c r="B150" s="0" t="s">
        <v>1808</v>
      </c>
      <c r="C150" s="0" t="s">
        <v>1809</v>
      </c>
      <c r="F150" s="0" t="n">
        <v>382</v>
      </c>
      <c r="G150" s="0" t="s">
        <v>10</v>
      </c>
    </row>
    <row r="151" customFormat="false" ht="12" hidden="false" customHeight="true" outlineLevel="0" collapsed="false">
      <c r="A151" s="6" t="s">
        <v>1810</v>
      </c>
      <c r="B151" s="6" t="s">
        <v>1811</v>
      </c>
      <c r="C151" s="6" t="s">
        <v>1812</v>
      </c>
      <c r="F151" s="6" t="n">
        <v>334</v>
      </c>
      <c r="G151" s="0" t="s">
        <v>10</v>
      </c>
    </row>
    <row r="152" customFormat="false" ht="12" hidden="false" customHeight="true" outlineLevel="0" collapsed="false">
      <c r="A152" s="6" t="s">
        <v>1813</v>
      </c>
      <c r="B152" s="0" t="s">
        <v>1814</v>
      </c>
      <c r="C152" s="6" t="s">
        <v>1815</v>
      </c>
      <c r="F152" s="6" t="n">
        <v>523</v>
      </c>
      <c r="G152" s="0" t="s">
        <v>10</v>
      </c>
    </row>
    <row r="153" customFormat="false" ht="12" hidden="false" customHeight="true" outlineLevel="0" collapsed="false">
      <c r="A153" s="0" t="s">
        <v>1816</v>
      </c>
      <c r="B153" s="0" t="s">
        <v>1817</v>
      </c>
      <c r="C153" s="0" t="s">
        <v>1818</v>
      </c>
      <c r="F153" s="0" t="n">
        <v>313</v>
      </c>
      <c r="G153" s="0" t="s">
        <v>10</v>
      </c>
    </row>
    <row r="154" customFormat="false" ht="12" hidden="false" customHeight="true" outlineLevel="0" collapsed="false">
      <c r="A154" s="0" t="s">
        <v>1819</v>
      </c>
      <c r="B154" s="0" t="s">
        <v>1820</v>
      </c>
      <c r="C154" s="0" t="s">
        <v>1821</v>
      </c>
      <c r="F154" s="0" t="n">
        <v>270</v>
      </c>
      <c r="G154" s="0" t="s">
        <v>1822</v>
      </c>
    </row>
    <row r="155" customFormat="false" ht="12" hidden="false" customHeight="true" outlineLevel="0" collapsed="false">
      <c r="A155" s="65" t="s">
        <v>1823</v>
      </c>
      <c r="B155" s="60" t="s">
        <v>1824</v>
      </c>
      <c r="C155" s="60" t="s">
        <v>1825</v>
      </c>
      <c r="D155" s="60"/>
      <c r="E155" s="60"/>
      <c r="F155" s="60" t="n">
        <v>1174</v>
      </c>
      <c r="G155" s="60" t="s">
        <v>10</v>
      </c>
    </row>
    <row r="156" customFormat="false" ht="12" hidden="false" customHeight="true" outlineLevel="0" collapsed="false">
      <c r="A156" s="0" t="s">
        <v>1826</v>
      </c>
      <c r="B156" s="0" t="s">
        <v>1824</v>
      </c>
      <c r="C156" s="0" t="s">
        <v>1827</v>
      </c>
      <c r="F156" s="0" t="n">
        <v>152</v>
      </c>
      <c r="G156" s="0" t="s">
        <v>10</v>
      </c>
    </row>
    <row r="157" customFormat="false" ht="12" hidden="false" customHeight="true" outlineLevel="0" collapsed="false">
      <c r="A157" s="6" t="s">
        <v>1828</v>
      </c>
      <c r="B157" s="0" t="s">
        <v>1369</v>
      </c>
      <c r="C157" s="0" t="s">
        <v>1829</v>
      </c>
      <c r="F157" s="0" t="n">
        <v>221</v>
      </c>
      <c r="G157" s="6" t="s">
        <v>10</v>
      </c>
    </row>
    <row r="158" customFormat="false" ht="12" hidden="false" customHeight="true" outlineLevel="0" collapsed="false">
      <c r="A158" s="0" t="s">
        <v>1830</v>
      </c>
      <c r="B158" s="0" t="s">
        <v>1831</v>
      </c>
      <c r="C158" s="0" t="s">
        <v>1832</v>
      </c>
      <c r="F158" s="0" t="n">
        <v>607</v>
      </c>
      <c r="G158" s="0" t="s">
        <v>1519</v>
      </c>
    </row>
    <row r="159" customFormat="false" ht="12" hidden="false" customHeight="true" outlineLevel="0" collapsed="false">
      <c r="A159" s="0" t="s">
        <v>1833</v>
      </c>
      <c r="B159" s="0" t="s">
        <v>153</v>
      </c>
      <c r="C159" s="0" t="s">
        <v>1834</v>
      </c>
      <c r="F159" s="0" t="n">
        <v>256</v>
      </c>
      <c r="G159" s="0" t="s">
        <v>24</v>
      </c>
    </row>
    <row r="160" customFormat="false" ht="12" hidden="false" customHeight="true" outlineLevel="0" collapsed="false">
      <c r="A160" s="6" t="s">
        <v>1835</v>
      </c>
      <c r="B160" s="0" t="s">
        <v>1836</v>
      </c>
      <c r="C160" s="0" t="s">
        <v>1837</v>
      </c>
      <c r="F160" s="62" t="n">
        <v>329</v>
      </c>
      <c r="G160" s="16" t="s">
        <v>24</v>
      </c>
    </row>
    <row r="161" customFormat="false" ht="12" hidden="false" customHeight="true" outlineLevel="0" collapsed="false">
      <c r="A161" s="6" t="s">
        <v>1838</v>
      </c>
      <c r="B161" s="0" t="s">
        <v>1836</v>
      </c>
      <c r="C161" s="0" t="s">
        <v>1839</v>
      </c>
      <c r="F161" s="62" t="n">
        <v>293</v>
      </c>
      <c r="G161" s="16" t="s">
        <v>24</v>
      </c>
    </row>
    <row r="162" customFormat="false" ht="12" hidden="false" customHeight="true" outlineLevel="0" collapsed="false">
      <c r="A162" s="6" t="s">
        <v>1840</v>
      </c>
      <c r="B162" s="0" t="s">
        <v>1836</v>
      </c>
      <c r="C162" s="0" t="s">
        <v>1841</v>
      </c>
      <c r="G162" s="16" t="s">
        <v>24</v>
      </c>
    </row>
    <row r="163" customFormat="false" ht="12" hidden="false" customHeight="true" outlineLevel="0" collapsed="false">
      <c r="A163" s="6" t="s">
        <v>1842</v>
      </c>
      <c r="B163" s="0" t="s">
        <v>1843</v>
      </c>
      <c r="C163" s="0" t="s">
        <v>1844</v>
      </c>
      <c r="F163" s="0" t="n">
        <v>479</v>
      </c>
      <c r="G163" s="16" t="s">
        <v>10</v>
      </c>
    </row>
    <row r="164" customFormat="false" ht="12" hidden="false" customHeight="true" outlineLevel="0" collapsed="false">
      <c r="A164" s="6" t="s">
        <v>1845</v>
      </c>
      <c r="B164" s="0" t="s">
        <v>1846</v>
      </c>
      <c r="C164" s="0" t="s">
        <v>1847</v>
      </c>
      <c r="F164" s="0" t="n">
        <v>483</v>
      </c>
      <c r="G164" s="16" t="s">
        <v>58</v>
      </c>
    </row>
    <row r="165" customFormat="false" ht="12" hidden="false" customHeight="true" outlineLevel="0" collapsed="false">
      <c r="A165" s="6" t="s">
        <v>1848</v>
      </c>
      <c r="B165" s="0" t="s">
        <v>1849</v>
      </c>
      <c r="C165" s="0" t="s">
        <v>1850</v>
      </c>
      <c r="G165" s="16" t="s">
        <v>10</v>
      </c>
    </row>
    <row r="166" customFormat="false" ht="12" hidden="false" customHeight="true" outlineLevel="0" collapsed="false">
      <c r="A166" s="6" t="s">
        <v>1851</v>
      </c>
      <c r="B166" s="0" t="s">
        <v>1852</v>
      </c>
      <c r="C166" s="0" t="s">
        <v>1853</v>
      </c>
      <c r="F166" s="0" t="n">
        <v>610</v>
      </c>
      <c r="G166" s="16" t="s">
        <v>10</v>
      </c>
    </row>
    <row r="167" customFormat="false" ht="24" hidden="false" customHeight="true" outlineLevel="0" collapsed="false">
      <c r="A167" s="6" t="s">
        <v>1854</v>
      </c>
      <c r="B167" s="0" t="s">
        <v>1855</v>
      </c>
      <c r="C167" s="0" t="s">
        <v>1856</v>
      </c>
      <c r="F167" s="0" t="n">
        <v>413</v>
      </c>
      <c r="G167" s="0" t="s">
        <v>58</v>
      </c>
    </row>
    <row r="168" customFormat="false" ht="12" hidden="false" customHeight="true" outlineLevel="0" collapsed="false">
      <c r="A168" s="0" t="s">
        <v>1857</v>
      </c>
      <c r="B168" s="0" t="s">
        <v>1858</v>
      </c>
      <c r="C168" s="0" t="s">
        <v>1859</v>
      </c>
      <c r="F168" s="0" t="n">
        <v>192</v>
      </c>
      <c r="G168" s="0" t="s">
        <v>58</v>
      </c>
    </row>
    <row r="169" customFormat="false" ht="12" hidden="false" customHeight="true" outlineLevel="0" collapsed="false">
      <c r="A169" s="0" t="s">
        <v>1860</v>
      </c>
      <c r="B169" s="0" t="s">
        <v>1861</v>
      </c>
      <c r="C169" s="0" t="s">
        <v>1862</v>
      </c>
      <c r="F169" s="0" t="n">
        <v>382</v>
      </c>
      <c r="G169" s="0" t="s">
        <v>10</v>
      </c>
    </row>
    <row r="170" customFormat="false" ht="12" hidden="false" customHeight="true" outlineLevel="0" collapsed="false">
      <c r="A170" s="5" t="s">
        <v>1863</v>
      </c>
      <c r="B170" s="6" t="s">
        <v>1374</v>
      </c>
      <c r="C170" s="6" t="s">
        <v>1864</v>
      </c>
      <c r="D170" s="61"/>
      <c r="E170" s="66"/>
      <c r="F170" s="6" t="n">
        <v>255</v>
      </c>
      <c r="G170" s="6" t="s">
        <v>10</v>
      </c>
      <c r="H170" s="13"/>
    </row>
    <row r="171" customFormat="false" ht="12" hidden="false" customHeight="true" outlineLevel="0" collapsed="false">
      <c r="A171" s="6" t="s">
        <v>1865</v>
      </c>
      <c r="B171" s="0" t="s">
        <v>1866</v>
      </c>
      <c r="C171" s="0" t="s">
        <v>1867</v>
      </c>
      <c r="F171" s="0" t="n">
        <v>302</v>
      </c>
      <c r="G171" s="0" t="s">
        <v>1734</v>
      </c>
    </row>
    <row r="172" customFormat="false" ht="12" hidden="false" customHeight="true" outlineLevel="0" collapsed="false">
      <c r="A172" s="0" t="s">
        <v>1868</v>
      </c>
      <c r="B172" s="0" t="s">
        <v>1869</v>
      </c>
      <c r="C172" s="0" t="s">
        <v>1870</v>
      </c>
      <c r="F172" s="0" t="n">
        <v>156</v>
      </c>
      <c r="G172" s="0" t="s">
        <v>10</v>
      </c>
    </row>
    <row r="173" customFormat="false" ht="12" hidden="false" customHeight="true" outlineLevel="0" collapsed="false">
      <c r="A173" s="0" t="s">
        <v>1871</v>
      </c>
      <c r="B173" s="0" t="s">
        <v>1872</v>
      </c>
      <c r="C173" s="0" t="s">
        <v>1873</v>
      </c>
      <c r="F173" s="0" t="n">
        <v>255</v>
      </c>
      <c r="G173" s="0" t="s">
        <v>1519</v>
      </c>
    </row>
    <row r="174" customFormat="false" ht="12" hidden="false" customHeight="true" outlineLevel="0" collapsed="false">
      <c r="A174" s="0" t="s">
        <v>1874</v>
      </c>
      <c r="B174" s="16" t="s">
        <v>1875</v>
      </c>
      <c r="C174" s="0" t="s">
        <v>1876</v>
      </c>
      <c r="F174" s="0" t="n">
        <v>478</v>
      </c>
      <c r="G174" s="0" t="s">
        <v>1519</v>
      </c>
    </row>
    <row r="175" customFormat="false" ht="12" hidden="false" customHeight="true" outlineLevel="0" collapsed="false">
      <c r="A175" s="6" t="s">
        <v>1877</v>
      </c>
      <c r="B175" s="0" t="s">
        <v>1878</v>
      </c>
      <c r="C175" s="0" t="s">
        <v>1879</v>
      </c>
      <c r="F175" s="0" t="n">
        <v>316</v>
      </c>
      <c r="G175" s="16" t="s">
        <v>10</v>
      </c>
    </row>
    <row r="176" customFormat="false" ht="12" hidden="false" customHeight="true" outlineLevel="0" collapsed="false">
      <c r="A176" s="6" t="s">
        <v>1880</v>
      </c>
      <c r="B176" s="0" t="s">
        <v>1881</v>
      </c>
      <c r="C176" s="0" t="s">
        <v>1882</v>
      </c>
      <c r="F176" s="0" t="n">
        <v>520</v>
      </c>
      <c r="G176" s="0" t="s">
        <v>24</v>
      </c>
    </row>
    <row r="177" customFormat="false" ht="12" hidden="false" customHeight="true" outlineLevel="0" collapsed="false">
      <c r="A177" s="0" t="s">
        <v>1883</v>
      </c>
      <c r="B177" s="0" t="s">
        <v>1884</v>
      </c>
      <c r="C177" s="0" t="s">
        <v>1885</v>
      </c>
      <c r="F177" s="0" t="n">
        <v>251</v>
      </c>
      <c r="G177" s="0" t="s">
        <v>10</v>
      </c>
    </row>
    <row r="178" customFormat="false" ht="12" hidden="false" customHeight="true" outlineLevel="0" collapsed="false">
      <c r="A178" s="0" t="s">
        <v>1886</v>
      </c>
      <c r="B178" s="0" t="s">
        <v>1887</v>
      </c>
      <c r="C178" s="0" t="s">
        <v>1888</v>
      </c>
      <c r="F178" s="0" t="n">
        <v>187</v>
      </c>
      <c r="G178" s="0" t="s">
        <v>10</v>
      </c>
    </row>
    <row r="179" customFormat="false" ht="12" hidden="false" customHeight="true" outlineLevel="0" collapsed="false">
      <c r="A179" s="0" t="s">
        <v>1889</v>
      </c>
      <c r="B179" s="0" t="s">
        <v>1890</v>
      </c>
      <c r="C179" s="0" t="s">
        <v>1891</v>
      </c>
      <c r="F179" s="0" t="n">
        <v>173</v>
      </c>
      <c r="G179" s="0" t="s">
        <v>10</v>
      </c>
    </row>
    <row r="180" customFormat="false" ht="12" hidden="false" customHeight="true" outlineLevel="0" collapsed="false">
      <c r="A180" s="0" t="s">
        <v>1892</v>
      </c>
      <c r="B180" s="0" t="s">
        <v>1893</v>
      </c>
      <c r="C180" s="0" t="s">
        <v>1894</v>
      </c>
      <c r="F180" s="0" t="n">
        <v>265</v>
      </c>
      <c r="G180" s="0" t="s">
        <v>10</v>
      </c>
    </row>
    <row r="181" customFormat="false" ht="12" hidden="false" customHeight="true" outlineLevel="0" collapsed="false">
      <c r="A181" s="6" t="s">
        <v>1895</v>
      </c>
      <c r="B181" s="16" t="s">
        <v>1896</v>
      </c>
      <c r="C181" s="16" t="s">
        <v>1897</v>
      </c>
      <c r="D181" s="16"/>
      <c r="E181" s="16"/>
      <c r="F181" s="16" t="n">
        <v>708</v>
      </c>
      <c r="G181" s="16" t="s">
        <v>24</v>
      </c>
      <c r="H181" s="16"/>
    </row>
    <row r="182" customFormat="false" ht="12" hidden="false" customHeight="true" outlineLevel="0" collapsed="false">
      <c r="A182" s="6" t="s">
        <v>433</v>
      </c>
      <c r="B182" s="0" t="s">
        <v>434</v>
      </c>
      <c r="C182" s="0" t="s">
        <v>1898</v>
      </c>
      <c r="F182" s="0" t="n">
        <v>477</v>
      </c>
      <c r="G182" s="16" t="s">
        <v>10</v>
      </c>
    </row>
    <row r="183" customFormat="false" ht="12" hidden="false" customHeight="true" outlineLevel="0" collapsed="false">
      <c r="A183" s="6" t="s">
        <v>1899</v>
      </c>
      <c r="B183" s="0" t="s">
        <v>92</v>
      </c>
      <c r="C183" s="0" t="s">
        <v>1900</v>
      </c>
      <c r="F183" s="0" t="n">
        <v>454</v>
      </c>
      <c r="G183" s="16" t="s">
        <v>24</v>
      </c>
    </row>
    <row r="184" customFormat="false" ht="12" hidden="false" customHeight="true" outlineLevel="0" collapsed="false">
      <c r="A184" s="6" t="s">
        <v>1901</v>
      </c>
      <c r="B184" s="0" t="s">
        <v>92</v>
      </c>
      <c r="C184" s="0" t="s">
        <v>1902</v>
      </c>
      <c r="F184" s="0" t="n">
        <v>104</v>
      </c>
      <c r="G184" s="16" t="s">
        <v>24</v>
      </c>
    </row>
    <row r="185" customFormat="false" ht="12" hidden="false" customHeight="true" outlineLevel="0" collapsed="false">
      <c r="A185" s="0" t="s">
        <v>1903</v>
      </c>
      <c r="B185" s="0" t="s">
        <v>1904</v>
      </c>
      <c r="C185" s="0" t="s">
        <v>1905</v>
      </c>
      <c r="F185" s="0" t="n">
        <v>220</v>
      </c>
      <c r="G185" s="0" t="s">
        <v>10</v>
      </c>
    </row>
    <row r="186" customFormat="false" ht="12" hidden="false" customHeight="true" outlineLevel="0" collapsed="false">
      <c r="A186" s="6" t="s">
        <v>1906</v>
      </c>
      <c r="B186" s="0" t="s">
        <v>1390</v>
      </c>
      <c r="C186" s="0" t="s">
        <v>1907</v>
      </c>
      <c r="F186" s="0" t="n">
        <v>350</v>
      </c>
      <c r="G186" s="16" t="s">
        <v>24</v>
      </c>
    </row>
    <row r="187" customFormat="false" ht="12" hidden="false" customHeight="true" outlineLevel="0" collapsed="false">
      <c r="A187" s="0" t="s">
        <v>1908</v>
      </c>
      <c r="B187" s="0" t="s">
        <v>1909</v>
      </c>
      <c r="C187" s="0" t="s">
        <v>1910</v>
      </c>
      <c r="F187" s="0" t="n">
        <v>312</v>
      </c>
      <c r="G187" s="16" t="s">
        <v>24</v>
      </c>
    </row>
    <row r="188" customFormat="false" ht="12" hidden="false" customHeight="true" outlineLevel="0" collapsed="false">
      <c r="A188" s="5" t="s">
        <v>1911</v>
      </c>
      <c r="B188" s="6" t="s">
        <v>1912</v>
      </c>
      <c r="C188" s="6" t="s">
        <v>1913</v>
      </c>
      <c r="D188" s="61"/>
      <c r="E188" s="66"/>
      <c r="F188" s="6" t="n">
        <v>288</v>
      </c>
      <c r="G188" s="6" t="s">
        <v>10</v>
      </c>
    </row>
    <row r="189" customFormat="false" ht="12" hidden="false" customHeight="true" outlineLevel="0" collapsed="false">
      <c r="A189" s="6" t="s">
        <v>1914</v>
      </c>
      <c r="B189" s="0" t="s">
        <v>468</v>
      </c>
      <c r="C189" s="0" t="s">
        <v>1915</v>
      </c>
      <c r="F189" s="0" t="n">
        <v>269</v>
      </c>
      <c r="G189" s="16" t="s">
        <v>10</v>
      </c>
    </row>
    <row r="190" customFormat="false" ht="12" hidden="false" customHeight="true" outlineLevel="0" collapsed="false">
      <c r="A190" s="6" t="s">
        <v>1916</v>
      </c>
      <c r="B190" s="0" t="s">
        <v>1917</v>
      </c>
      <c r="C190" s="0" t="s">
        <v>1540</v>
      </c>
      <c r="G190" s="0" t="s">
        <v>58</v>
      </c>
    </row>
    <row r="191" customFormat="false" ht="12" hidden="false" customHeight="true" outlineLevel="0" collapsed="false">
      <c r="A191" s="6" t="s">
        <v>1918</v>
      </c>
      <c r="B191" s="0" t="s">
        <v>1919</v>
      </c>
      <c r="C191" s="0" t="s">
        <v>1920</v>
      </c>
      <c r="G191" s="16" t="s">
        <v>24</v>
      </c>
    </row>
    <row r="192" customFormat="false" ht="12" hidden="false" customHeight="true" outlineLevel="0" collapsed="false">
      <c r="A192" s="0" t="s">
        <v>1921</v>
      </c>
      <c r="B192" s="0" t="s">
        <v>1922</v>
      </c>
      <c r="C192" s="0" t="s">
        <v>1923</v>
      </c>
      <c r="F192" s="0" t="n">
        <v>415</v>
      </c>
      <c r="G192" s="0" t="s">
        <v>58</v>
      </c>
    </row>
    <row r="193" customFormat="false" ht="24" hidden="false" customHeight="true" outlineLevel="0" collapsed="false">
      <c r="A193" s="6" t="s">
        <v>1924</v>
      </c>
      <c r="B193" s="0" t="s">
        <v>1925</v>
      </c>
      <c r="C193" s="0" t="s">
        <v>1926</v>
      </c>
      <c r="F193" s="0" t="n">
        <v>406</v>
      </c>
      <c r="G193" s="0" t="s">
        <v>24</v>
      </c>
    </row>
    <row r="194" customFormat="false" ht="12" hidden="false" customHeight="true" outlineLevel="0" collapsed="false">
      <c r="A194" s="6" t="s">
        <v>1927</v>
      </c>
      <c r="B194" s="0" t="s">
        <v>1928</v>
      </c>
      <c r="C194" s="6" t="s">
        <v>1929</v>
      </c>
      <c r="F194" s="6" t="n">
        <v>912</v>
      </c>
      <c r="G194" s="0" t="s">
        <v>58</v>
      </c>
    </row>
    <row r="195" customFormat="false" ht="12" hidden="false" customHeight="true" outlineLevel="0" collapsed="false">
      <c r="A195" s="6" t="s">
        <v>1930</v>
      </c>
      <c r="B195" s="0" t="s">
        <v>144</v>
      </c>
      <c r="C195" s="0" t="s">
        <v>1931</v>
      </c>
      <c r="F195" s="0" t="n">
        <v>272</v>
      </c>
      <c r="G195" s="16" t="s">
        <v>10</v>
      </c>
    </row>
    <row r="196" customFormat="false" ht="12" hidden="false" customHeight="true" outlineLevel="0" collapsed="false">
      <c r="A196" s="6" t="s">
        <v>1932</v>
      </c>
      <c r="B196" s="0" t="s">
        <v>1933</v>
      </c>
      <c r="C196" s="0" t="s">
        <v>1934</v>
      </c>
      <c r="F196" s="0" t="n">
        <v>463</v>
      </c>
      <c r="G196" s="16" t="s">
        <v>10</v>
      </c>
    </row>
    <row r="197" customFormat="false" ht="12" hidden="false" customHeight="true" outlineLevel="0" collapsed="false">
      <c r="A197" s="0" t="s">
        <v>474</v>
      </c>
      <c r="B197" s="0" t="s">
        <v>1935</v>
      </c>
      <c r="C197" s="0" t="s">
        <v>1936</v>
      </c>
      <c r="F197" s="0" t="n">
        <v>317</v>
      </c>
      <c r="G197" s="0" t="s">
        <v>58</v>
      </c>
    </row>
    <row r="198" customFormat="false" ht="12" hidden="false" customHeight="true" outlineLevel="0" collapsed="false">
      <c r="A198" s="0" t="s">
        <v>1937</v>
      </c>
      <c r="B198" s="0" t="s">
        <v>1938</v>
      </c>
      <c r="C198" s="0" t="s">
        <v>1939</v>
      </c>
      <c r="F198" s="0" t="n">
        <v>301</v>
      </c>
      <c r="G198" s="0" t="s">
        <v>24</v>
      </c>
    </row>
    <row r="199" customFormat="false" ht="12" hidden="false" customHeight="true" outlineLevel="0" collapsed="false">
      <c r="A199" s="6" t="s">
        <v>1940</v>
      </c>
      <c r="B199" s="16" t="s">
        <v>1941</v>
      </c>
      <c r="C199" s="0" t="s">
        <v>1942</v>
      </c>
      <c r="F199" s="0" t="n">
        <v>142</v>
      </c>
      <c r="G199" s="16" t="s">
        <v>10</v>
      </c>
    </row>
    <row r="200" customFormat="false" ht="12" hidden="false" customHeight="true" outlineLevel="0" collapsed="false">
      <c r="A200" s="6" t="s">
        <v>1128</v>
      </c>
      <c r="B200" s="0" t="s">
        <v>1129</v>
      </c>
      <c r="C200" s="0" t="s">
        <v>1540</v>
      </c>
      <c r="G200" s="0" t="s">
        <v>10</v>
      </c>
    </row>
    <row r="201" customFormat="false" ht="12" hidden="false" customHeight="true" outlineLevel="0" collapsed="false">
      <c r="A201" s="6" t="s">
        <v>1943</v>
      </c>
      <c r="B201" s="0" t="s">
        <v>1944</v>
      </c>
      <c r="C201" s="0" t="s">
        <v>1945</v>
      </c>
      <c r="F201" s="0" t="n">
        <v>189</v>
      </c>
      <c r="G201" s="16" t="s">
        <v>10</v>
      </c>
    </row>
    <row r="202" customFormat="false" ht="12" hidden="false" customHeight="true" outlineLevel="0" collapsed="false">
      <c r="A202" s="6" t="s">
        <v>1946</v>
      </c>
      <c r="B202" s="0" t="s">
        <v>1947</v>
      </c>
      <c r="C202" s="0" t="s">
        <v>1948</v>
      </c>
      <c r="G202" s="16" t="s">
        <v>10</v>
      </c>
    </row>
    <row r="203" customFormat="false" ht="12" hidden="false" customHeight="true" outlineLevel="0" collapsed="false">
      <c r="A203" s="0" t="s">
        <v>1949</v>
      </c>
      <c r="B203" s="0" t="s">
        <v>1950</v>
      </c>
      <c r="C203" s="0" t="s">
        <v>1951</v>
      </c>
      <c r="F203" s="0" t="n">
        <v>266</v>
      </c>
      <c r="G203" s="0" t="s">
        <v>58</v>
      </c>
    </row>
    <row r="204" customFormat="false" ht="12" hidden="false" customHeight="true" outlineLevel="0" collapsed="false">
      <c r="A204" s="6" t="s">
        <v>1952</v>
      </c>
      <c r="B204" s="6" t="s">
        <v>1953</v>
      </c>
      <c r="C204" s="6" t="s">
        <v>1954</v>
      </c>
      <c r="F204" s="0" t="n">
        <v>157</v>
      </c>
      <c r="G204" s="16" t="s">
        <v>10</v>
      </c>
    </row>
    <row r="205" customFormat="false" ht="12" hidden="false" customHeight="true" outlineLevel="0" collapsed="false">
      <c r="A205" s="0" t="s">
        <v>1955</v>
      </c>
      <c r="B205" s="0" t="s">
        <v>1953</v>
      </c>
      <c r="C205" s="0" t="s">
        <v>1956</v>
      </c>
      <c r="F205" s="0" t="n">
        <v>181</v>
      </c>
      <c r="G205" s="0" t="s">
        <v>10</v>
      </c>
    </row>
    <row r="206" customFormat="false" ht="24" hidden="false" customHeight="true" outlineLevel="0" collapsed="false">
      <c r="A206" s="6" t="s">
        <v>1957</v>
      </c>
      <c r="B206" s="0" t="s">
        <v>1958</v>
      </c>
      <c r="C206" s="0" t="s">
        <v>1959</v>
      </c>
      <c r="F206" s="0" t="n">
        <v>555</v>
      </c>
      <c r="G206" s="16" t="s">
        <v>24</v>
      </c>
    </row>
    <row r="207" customFormat="false" ht="12" hidden="false" customHeight="true" outlineLevel="0" collapsed="false">
      <c r="A207" s="6" t="s">
        <v>1960</v>
      </c>
      <c r="B207" s="0" t="s">
        <v>1090</v>
      </c>
      <c r="C207" s="0" t="s">
        <v>1961</v>
      </c>
      <c r="G207" s="16" t="s">
        <v>24</v>
      </c>
    </row>
    <row r="208" customFormat="false" ht="12" hidden="false" customHeight="true" outlineLevel="0" collapsed="false">
      <c r="A208" s="6" t="s">
        <v>1962</v>
      </c>
      <c r="B208" s="6" t="s">
        <v>1963</v>
      </c>
      <c r="C208" s="0" t="s">
        <v>1964</v>
      </c>
      <c r="F208" s="0" t="n">
        <v>403</v>
      </c>
      <c r="G208" s="16" t="s">
        <v>731</v>
      </c>
    </row>
    <row r="209" customFormat="false" ht="12" hidden="false" customHeight="true" outlineLevel="0" collapsed="false">
      <c r="A209" s="6" t="s">
        <v>1965</v>
      </c>
      <c r="B209" s="0" t="s">
        <v>1966</v>
      </c>
      <c r="C209" s="0" t="s">
        <v>1967</v>
      </c>
      <c r="F209" s="0" t="n">
        <v>318</v>
      </c>
      <c r="G209" s="6" t="s">
        <v>24</v>
      </c>
    </row>
    <row r="210" customFormat="false" ht="12" hidden="false" customHeight="true" outlineLevel="0" collapsed="false">
      <c r="A210" s="0" t="s">
        <v>1968</v>
      </c>
      <c r="B210" s="0" t="s">
        <v>1969</v>
      </c>
      <c r="C210" s="0" t="s">
        <v>1970</v>
      </c>
      <c r="F210" s="0" t="n">
        <v>192</v>
      </c>
      <c r="G210" s="0" t="s">
        <v>10</v>
      </c>
    </row>
    <row r="211" customFormat="false" ht="12" hidden="false" customHeight="true" outlineLevel="0" collapsed="false">
      <c r="A211" s="6" t="s">
        <v>1971</v>
      </c>
      <c r="B211" s="0" t="s">
        <v>1972</v>
      </c>
      <c r="C211" s="0" t="s">
        <v>1973</v>
      </c>
      <c r="F211" s="0" t="n">
        <v>288</v>
      </c>
      <c r="G211" s="16" t="s">
        <v>24</v>
      </c>
    </row>
    <row r="212" customFormat="false" ht="12" hidden="false" customHeight="true" outlineLevel="0" collapsed="false">
      <c r="A212" s="6" t="s">
        <v>1974</v>
      </c>
      <c r="B212" s="0" t="s">
        <v>1975</v>
      </c>
      <c r="C212" s="0" t="s">
        <v>1976</v>
      </c>
      <c r="F212" s="0" t="n">
        <v>367</v>
      </c>
      <c r="G212" s="16" t="s">
        <v>10</v>
      </c>
    </row>
    <row r="213" customFormat="false" ht="12" hidden="false" customHeight="true" outlineLevel="0" collapsed="false">
      <c r="A213" s="0" t="s">
        <v>1977</v>
      </c>
      <c r="B213" s="0" t="s">
        <v>1978</v>
      </c>
      <c r="C213" s="6" t="s">
        <v>1979</v>
      </c>
      <c r="F213" s="6" t="n">
        <v>312</v>
      </c>
      <c r="G213" s="0" t="s">
        <v>10</v>
      </c>
    </row>
    <row r="214" customFormat="false" ht="12" hidden="false" customHeight="true" outlineLevel="0" collapsed="false">
      <c r="A214" s="6" t="s">
        <v>1980</v>
      </c>
      <c r="B214" s="6" t="s">
        <v>1981</v>
      </c>
      <c r="C214" s="6" t="s">
        <v>1982</v>
      </c>
      <c r="D214" s="6"/>
      <c r="E214" s="6"/>
      <c r="F214" s="6" t="n">
        <v>89</v>
      </c>
      <c r="G214" s="6" t="s">
        <v>24</v>
      </c>
    </row>
    <row r="215" customFormat="false" ht="12" hidden="false" customHeight="true" outlineLevel="0" collapsed="false">
      <c r="A215" s="6" t="s">
        <v>1983</v>
      </c>
      <c r="B215" s="0" t="s">
        <v>637</v>
      </c>
      <c r="C215" s="0" t="s">
        <v>1984</v>
      </c>
      <c r="F215" s="0" t="n">
        <v>200</v>
      </c>
      <c r="G215" s="16" t="s">
        <v>10</v>
      </c>
    </row>
    <row r="216" customFormat="false" ht="12" hidden="false" customHeight="true" outlineLevel="0" collapsed="false">
      <c r="A216" s="60" t="s">
        <v>1985</v>
      </c>
      <c r="B216" s="60" t="s">
        <v>158</v>
      </c>
      <c r="C216" s="60" t="s">
        <v>1986</v>
      </c>
      <c r="D216" s="60"/>
      <c r="E216" s="60"/>
      <c r="F216" s="60" t="n">
        <v>177</v>
      </c>
      <c r="G216" s="60" t="s">
        <v>10</v>
      </c>
    </row>
    <row r="217" customFormat="false" ht="12" hidden="false" customHeight="true" outlineLevel="0" collapsed="false">
      <c r="A217" s="60" t="s">
        <v>1987</v>
      </c>
      <c r="B217" s="60" t="s">
        <v>158</v>
      </c>
      <c r="C217" s="60" t="s">
        <v>1988</v>
      </c>
      <c r="D217" s="60"/>
      <c r="E217" s="60"/>
      <c r="F217" s="60" t="n">
        <v>237</v>
      </c>
      <c r="G217" s="60" t="s">
        <v>10</v>
      </c>
    </row>
    <row r="218" customFormat="false" ht="12" hidden="false" customHeight="true" outlineLevel="0" collapsed="false">
      <c r="A218" s="0" t="s">
        <v>1989</v>
      </c>
      <c r="B218" s="0" t="s">
        <v>1990</v>
      </c>
      <c r="C218" s="0" t="s">
        <v>1540</v>
      </c>
      <c r="F218" s="0" t="n">
        <v>320</v>
      </c>
      <c r="G218" s="0" t="s">
        <v>24</v>
      </c>
    </row>
    <row r="219" customFormat="false" ht="12" hidden="false" customHeight="true" outlineLevel="0" collapsed="false">
      <c r="A219" s="6" t="s">
        <v>1991</v>
      </c>
      <c r="B219" s="0" t="s">
        <v>1396</v>
      </c>
      <c r="C219" s="0" t="s">
        <v>1992</v>
      </c>
      <c r="G219" s="16" t="s">
        <v>10</v>
      </c>
    </row>
    <row r="220" customFormat="false" ht="12" hidden="false" customHeight="true" outlineLevel="0" collapsed="false">
      <c r="A220" s="0" t="s">
        <v>1993</v>
      </c>
      <c r="B220" s="0" t="s">
        <v>1994</v>
      </c>
      <c r="C220" s="0" t="s">
        <v>1995</v>
      </c>
      <c r="F220" s="0" t="n">
        <v>305</v>
      </c>
      <c r="G220" s="0" t="s">
        <v>10</v>
      </c>
    </row>
    <row r="221" customFormat="false" ht="12" hidden="false" customHeight="true" outlineLevel="0" collapsed="false">
      <c r="A221" s="67" t="s">
        <v>1996</v>
      </c>
      <c r="B221" s="0" t="s">
        <v>1997</v>
      </c>
      <c r="C221" s="0" t="s">
        <v>1998</v>
      </c>
      <c r="F221" s="0" t="n">
        <v>311</v>
      </c>
      <c r="G221" s="0" t="s">
        <v>1999</v>
      </c>
    </row>
    <row r="222" customFormat="false" ht="12" hidden="false" customHeight="true" outlineLevel="0" collapsed="false">
      <c r="A222" s="6" t="s">
        <v>2000</v>
      </c>
      <c r="B222" s="0" t="s">
        <v>2001</v>
      </c>
      <c r="C222" s="0" t="s">
        <v>2002</v>
      </c>
      <c r="F222" s="0" t="n">
        <v>340</v>
      </c>
    </row>
    <row r="223" customFormat="false" ht="12" hidden="false" customHeight="true" outlineLevel="0" collapsed="false">
      <c r="A223" s="6" t="s">
        <v>2003</v>
      </c>
      <c r="B223" s="0" t="s">
        <v>2001</v>
      </c>
      <c r="C223" s="0" t="s">
        <v>2004</v>
      </c>
      <c r="F223" s="0" t="n">
        <v>124</v>
      </c>
      <c r="G223" s="16" t="s">
        <v>24</v>
      </c>
    </row>
    <row r="224" customFormat="false" ht="12" hidden="false" customHeight="true" outlineLevel="0" collapsed="false">
      <c r="A224" s="6" t="s">
        <v>2005</v>
      </c>
      <c r="B224" s="0" t="s">
        <v>2006</v>
      </c>
      <c r="C224" s="0" t="s">
        <v>2007</v>
      </c>
      <c r="F224" s="0" t="n">
        <v>656</v>
      </c>
      <c r="G224" s="16" t="s">
        <v>10</v>
      </c>
    </row>
    <row r="225" customFormat="false" ht="12" hidden="false" customHeight="true" outlineLevel="0" collapsed="false">
      <c r="A225" s="0" t="s">
        <v>2008</v>
      </c>
      <c r="B225" s="0" t="s">
        <v>2009</v>
      </c>
      <c r="C225" s="0" t="s">
        <v>2010</v>
      </c>
      <c r="F225" s="0" t="n">
        <v>222</v>
      </c>
      <c r="G225" s="0" t="s">
        <v>10</v>
      </c>
    </row>
    <row r="226" customFormat="false" ht="12" hidden="false" customHeight="true" outlineLevel="0" collapsed="false">
      <c r="A226" s="0" t="s">
        <v>2011</v>
      </c>
      <c r="B226" s="0" t="s">
        <v>2012</v>
      </c>
      <c r="C226" s="0" t="s">
        <v>2013</v>
      </c>
      <c r="F226" s="0" t="n">
        <v>188</v>
      </c>
      <c r="G226" s="0" t="s">
        <v>10</v>
      </c>
    </row>
    <row r="227" customFormat="false" ht="12" hidden="false" customHeight="true" outlineLevel="0" collapsed="false">
      <c r="A227" s="6" t="s">
        <v>2014</v>
      </c>
      <c r="B227" s="6" t="s">
        <v>2015</v>
      </c>
      <c r="C227" s="6" t="s">
        <v>2016</v>
      </c>
      <c r="F227" s="6" t="n">
        <v>351</v>
      </c>
      <c r="G227" s="0" t="s">
        <v>10</v>
      </c>
    </row>
    <row r="228" customFormat="false" ht="12" hidden="false" customHeight="true" outlineLevel="0" collapsed="false">
      <c r="A228" s="6" t="s">
        <v>2017</v>
      </c>
      <c r="B228" s="0" t="s">
        <v>2018</v>
      </c>
      <c r="C228" s="0" t="s">
        <v>2019</v>
      </c>
      <c r="G228" s="0" t="s">
        <v>2020</v>
      </c>
    </row>
    <row r="229" customFormat="false" ht="12" hidden="false" customHeight="true" outlineLevel="0" collapsed="false">
      <c r="A229" s="16" t="s">
        <v>2021</v>
      </c>
      <c r="B229" s="6" t="s">
        <v>2022</v>
      </c>
      <c r="C229" s="6" t="s">
        <v>2023</v>
      </c>
      <c r="F229" s="6" t="n">
        <v>617</v>
      </c>
      <c r="G229" s="0" t="s">
        <v>10</v>
      </c>
    </row>
    <row r="230" customFormat="false" ht="12" hidden="false" customHeight="true" outlineLevel="0" collapsed="false">
      <c r="A230" s="0" t="s">
        <v>2024</v>
      </c>
      <c r="B230" s="0" t="s">
        <v>2025</v>
      </c>
      <c r="C230" s="0" t="s">
        <v>2026</v>
      </c>
      <c r="F230" s="0" t="n">
        <v>247</v>
      </c>
      <c r="G230" s="0" t="s">
        <v>10</v>
      </c>
    </row>
    <row r="231" s="16" customFormat="true" ht="12" hidden="false" customHeight="true" outlineLevel="0" collapsed="false">
      <c r="A231" s="0" t="s">
        <v>2027</v>
      </c>
      <c r="B231" s="0" t="s">
        <v>2028</v>
      </c>
      <c r="C231" s="0" t="s">
        <v>2029</v>
      </c>
      <c r="D231" s="0"/>
      <c r="E231" s="0"/>
      <c r="F231" s="0" t="n">
        <v>91</v>
      </c>
      <c r="G231" s="0" t="s">
        <v>390</v>
      </c>
      <c r="H231" s="0"/>
    </row>
    <row r="232" customFormat="false" ht="12" hidden="false" customHeight="true" outlineLevel="0" collapsed="false">
      <c r="A232" s="0" t="s">
        <v>2030</v>
      </c>
      <c r="B232" s="0" t="s">
        <v>2031</v>
      </c>
      <c r="C232" s="0" t="s">
        <v>2032</v>
      </c>
      <c r="F232" s="0" t="n">
        <v>234</v>
      </c>
      <c r="G232" s="0" t="s">
        <v>10</v>
      </c>
    </row>
    <row r="233" customFormat="false" ht="12" hidden="false" customHeight="true" outlineLevel="0" collapsed="false">
      <c r="A233" s="6" t="s">
        <v>2033</v>
      </c>
      <c r="B233" s="0" t="s">
        <v>233</v>
      </c>
      <c r="C233" s="0" t="s">
        <v>2034</v>
      </c>
      <c r="F233" s="0" t="n">
        <v>219</v>
      </c>
      <c r="G233" s="16" t="s">
        <v>10</v>
      </c>
    </row>
    <row r="234" customFormat="false" ht="12" hidden="false" customHeight="true" outlineLevel="0" collapsed="false">
      <c r="A234" s="6" t="s">
        <v>2035</v>
      </c>
      <c r="B234" s="0" t="s">
        <v>2036</v>
      </c>
      <c r="C234" s="0" t="s">
        <v>2037</v>
      </c>
      <c r="F234" s="0" t="n">
        <v>312</v>
      </c>
      <c r="G234" s="16" t="s">
        <v>560</v>
      </c>
    </row>
    <row r="235" customFormat="false" ht="12" hidden="false" customHeight="true" outlineLevel="0" collapsed="false">
      <c r="A235" s="60" t="s">
        <v>2038</v>
      </c>
      <c r="B235" s="60" t="s">
        <v>575</v>
      </c>
      <c r="C235" s="60" t="s">
        <v>2039</v>
      </c>
      <c r="D235" s="60"/>
      <c r="E235" s="60"/>
      <c r="F235" s="60" t="n">
        <v>344</v>
      </c>
      <c r="G235" s="60" t="s">
        <v>24</v>
      </c>
    </row>
    <row r="236" customFormat="false" ht="12" hidden="false" customHeight="true" outlineLevel="0" collapsed="false">
      <c r="A236" s="65" t="s">
        <v>2040</v>
      </c>
      <c r="B236" s="60" t="s">
        <v>575</v>
      </c>
      <c r="C236" s="60" t="s">
        <v>2041</v>
      </c>
      <c r="D236" s="60"/>
      <c r="E236" s="60"/>
      <c r="F236" s="60" t="n">
        <v>292</v>
      </c>
      <c r="G236" s="65" t="s">
        <v>24</v>
      </c>
      <c r="H236" s="16"/>
    </row>
    <row r="237" customFormat="false" ht="12" hidden="false" customHeight="true" outlineLevel="0" collapsed="false">
      <c r="A237" s="0" t="s">
        <v>2042</v>
      </c>
      <c r="B237" s="0" t="s">
        <v>2043</v>
      </c>
      <c r="C237" s="0" t="s">
        <v>2044</v>
      </c>
      <c r="F237" s="0" t="n">
        <v>704</v>
      </c>
      <c r="G237" s="0" t="s">
        <v>24</v>
      </c>
    </row>
    <row r="238" customFormat="false" ht="12" hidden="false" customHeight="true" outlineLevel="0" collapsed="false">
      <c r="A238" s="0" t="s">
        <v>2045</v>
      </c>
      <c r="B238" s="0" t="s">
        <v>2046</v>
      </c>
      <c r="C238" s="0" t="s">
        <v>2047</v>
      </c>
      <c r="F238" s="0" t="n">
        <v>679</v>
      </c>
      <c r="G238" s="0" t="s">
        <v>10</v>
      </c>
    </row>
    <row r="239" customFormat="false" ht="12" hidden="false" customHeight="true" outlineLevel="0" collapsed="false">
      <c r="A239" s="6" t="s">
        <v>2048</v>
      </c>
      <c r="B239" s="0" t="s">
        <v>2049</v>
      </c>
      <c r="C239" s="0" t="s">
        <v>2050</v>
      </c>
      <c r="F239" s="0" t="n">
        <v>255</v>
      </c>
      <c r="G239" s="16" t="s">
        <v>24</v>
      </c>
    </row>
    <row r="240" customFormat="false" ht="12" hidden="false" customHeight="true" outlineLevel="0" collapsed="false">
      <c r="A240" s="6" t="s">
        <v>2051</v>
      </c>
      <c r="B240" s="0" t="s">
        <v>2052</v>
      </c>
      <c r="C240" s="6" t="s">
        <v>2053</v>
      </c>
      <c r="F240" s="6" t="n">
        <v>184</v>
      </c>
      <c r="G240" s="0" t="s">
        <v>10</v>
      </c>
    </row>
    <row r="241" customFormat="false" ht="12" hidden="false" customHeight="true" outlineLevel="0" collapsed="false">
      <c r="A241" s="6" t="s">
        <v>2054</v>
      </c>
      <c r="B241" s="0" t="s">
        <v>2055</v>
      </c>
      <c r="C241" s="0" t="s">
        <v>2056</v>
      </c>
      <c r="G241" s="16" t="s">
        <v>10</v>
      </c>
    </row>
    <row r="242" customFormat="false" ht="12" hidden="false" customHeight="true" outlineLevel="0" collapsed="false">
      <c r="A242" s="6" t="s">
        <v>2057</v>
      </c>
      <c r="B242" s="0" t="s">
        <v>2058</v>
      </c>
      <c r="C242" s="0" t="s">
        <v>2059</v>
      </c>
      <c r="F242" s="0" t="n">
        <v>718</v>
      </c>
      <c r="G242" s="16" t="s">
        <v>24</v>
      </c>
    </row>
    <row r="243" customFormat="false" ht="12" hidden="false" customHeight="true" outlineLevel="0" collapsed="false">
      <c r="A243" s="0" t="s">
        <v>2060</v>
      </c>
      <c r="B243" s="0" t="s">
        <v>2061</v>
      </c>
      <c r="C243" s="0" t="s">
        <v>2062</v>
      </c>
      <c r="F243" s="0" t="n">
        <v>326</v>
      </c>
      <c r="G243" s="0" t="s">
        <v>10</v>
      </c>
    </row>
    <row r="244" customFormat="false" ht="12" hidden="false" customHeight="true" outlineLevel="0" collapsed="false">
      <c r="A244" s="6" t="s">
        <v>2063</v>
      </c>
      <c r="B244" s="0" t="s">
        <v>2064</v>
      </c>
      <c r="C244" s="6" t="s">
        <v>2065</v>
      </c>
      <c r="F244" s="6" t="n">
        <v>252</v>
      </c>
      <c r="G244" s="0" t="s">
        <v>10</v>
      </c>
    </row>
    <row r="245" customFormat="false" ht="12" hidden="false" customHeight="true" outlineLevel="0" collapsed="false">
      <c r="A245" s="6" t="s">
        <v>2066</v>
      </c>
      <c r="B245" s="0" t="s">
        <v>2067</v>
      </c>
      <c r="C245" s="0" t="s">
        <v>2068</v>
      </c>
      <c r="F245" s="0" t="n">
        <v>291</v>
      </c>
      <c r="G245" s="16" t="s">
        <v>10</v>
      </c>
    </row>
    <row r="246" customFormat="false" ht="12" hidden="false" customHeight="true" outlineLevel="0" collapsed="false">
      <c r="A246" s="0" t="s">
        <v>2069</v>
      </c>
      <c r="B246" s="0" t="s">
        <v>2070</v>
      </c>
      <c r="C246" s="0" t="s">
        <v>2071</v>
      </c>
      <c r="F246" s="0" t="n">
        <v>318</v>
      </c>
      <c r="G246" s="0" t="s">
        <v>1822</v>
      </c>
    </row>
    <row r="247" customFormat="false" ht="12" hidden="false" customHeight="true" outlineLevel="0" collapsed="false">
      <c r="A247" s="6" t="s">
        <v>2072</v>
      </c>
      <c r="B247" s="0" t="s">
        <v>2073</v>
      </c>
      <c r="C247" s="0" t="s">
        <v>2074</v>
      </c>
      <c r="F247" s="0" t="n">
        <v>190</v>
      </c>
      <c r="G247" s="16" t="s">
        <v>10</v>
      </c>
    </row>
    <row r="248" customFormat="false" ht="12" hidden="false" customHeight="true" outlineLevel="0" collapsed="false">
      <c r="A248" s="6" t="s">
        <v>2075</v>
      </c>
      <c r="B248" s="0" t="s">
        <v>2076</v>
      </c>
      <c r="C248" s="0" t="s">
        <v>2077</v>
      </c>
      <c r="F248" s="0" t="n">
        <v>211</v>
      </c>
      <c r="G248" s="16" t="s">
        <v>10</v>
      </c>
    </row>
    <row r="249" customFormat="false" ht="12" hidden="false" customHeight="true" outlineLevel="0" collapsed="false">
      <c r="A249" s="6" t="s">
        <v>2078</v>
      </c>
      <c r="B249" s="0" t="s">
        <v>2076</v>
      </c>
      <c r="C249" s="0" t="s">
        <v>2079</v>
      </c>
      <c r="F249" s="0" t="n">
        <v>171</v>
      </c>
      <c r="G249" s="16" t="s">
        <v>10</v>
      </c>
    </row>
    <row r="250" customFormat="false" ht="12" hidden="false" customHeight="true" outlineLevel="0" collapsed="false">
      <c r="A250" s="0" t="s">
        <v>2080</v>
      </c>
      <c r="B250" s="0" t="s">
        <v>2081</v>
      </c>
      <c r="C250" s="0" t="s">
        <v>1540</v>
      </c>
      <c r="F250" s="0" t="n">
        <v>344</v>
      </c>
      <c r="G250" s="0" t="s">
        <v>24</v>
      </c>
    </row>
    <row r="251" customFormat="false" ht="12" hidden="false" customHeight="true" outlineLevel="0" collapsed="false">
      <c r="A251" s="0" t="s">
        <v>2082</v>
      </c>
      <c r="B251" s="0" t="s">
        <v>2083</v>
      </c>
      <c r="C251" s="0" t="s">
        <v>2084</v>
      </c>
      <c r="F251" s="0" t="n">
        <v>411</v>
      </c>
      <c r="G251" s="0" t="s">
        <v>1519</v>
      </c>
    </row>
    <row r="252" customFormat="false" ht="12" hidden="false" customHeight="true" outlineLevel="0" collapsed="false">
      <c r="A252" s="6" t="s">
        <v>2085</v>
      </c>
      <c r="B252" s="0" t="s">
        <v>2086</v>
      </c>
      <c r="C252" s="6" t="s">
        <v>2087</v>
      </c>
      <c r="F252" s="6" t="n">
        <v>412</v>
      </c>
      <c r="G252" s="0" t="s">
        <v>58</v>
      </c>
    </row>
    <row r="253" customFormat="false" ht="12" hidden="false" customHeight="true" outlineLevel="0" collapsed="false">
      <c r="A253" s="0" t="s">
        <v>2088</v>
      </c>
      <c r="B253" s="0" t="s">
        <v>2089</v>
      </c>
      <c r="C253" s="0" t="s">
        <v>2090</v>
      </c>
      <c r="F253" s="0" t="n">
        <v>203</v>
      </c>
      <c r="G253" s="0" t="s">
        <v>10</v>
      </c>
    </row>
    <row r="254" customFormat="false" ht="12" hidden="false" customHeight="true" outlineLevel="0" collapsed="false">
      <c r="A254" s="0" t="s">
        <v>2091</v>
      </c>
      <c r="B254" s="0" t="s">
        <v>2092</v>
      </c>
      <c r="C254" s="0" t="s">
        <v>2093</v>
      </c>
      <c r="F254" s="0" t="n">
        <v>205</v>
      </c>
      <c r="G254" s="0" t="s">
        <v>10</v>
      </c>
    </row>
    <row r="255" s="16" customFormat="true" ht="12" hidden="false" customHeight="true" outlineLevel="0" collapsed="false">
      <c r="A255" s="0" t="s">
        <v>2094</v>
      </c>
      <c r="B255" s="0" t="s">
        <v>402</v>
      </c>
      <c r="C255" s="0" t="s">
        <v>2095</v>
      </c>
      <c r="D255" s="0"/>
      <c r="E255" s="0"/>
      <c r="F255" s="0" t="n">
        <v>308</v>
      </c>
      <c r="G255" s="0" t="s">
        <v>390</v>
      </c>
      <c r="H255" s="0"/>
    </row>
    <row r="256" customFormat="false" ht="12" hidden="false" customHeight="true" outlineLevel="0" collapsed="false">
      <c r="A256" s="6" t="s">
        <v>2096</v>
      </c>
      <c r="B256" s="0" t="s">
        <v>2097</v>
      </c>
      <c r="C256" s="0" t="s">
        <v>2098</v>
      </c>
      <c r="G256" s="0" t="s">
        <v>10</v>
      </c>
    </row>
    <row r="257" customFormat="false" ht="12" hidden="false" customHeight="true" outlineLevel="0" collapsed="false">
      <c r="A257" s="0" t="s">
        <v>2099</v>
      </c>
      <c r="B257" s="0" t="s">
        <v>2100</v>
      </c>
      <c r="C257" s="0" t="s">
        <v>2101</v>
      </c>
      <c r="F257" s="0" t="n">
        <v>259</v>
      </c>
      <c r="G257" s="0" t="s">
        <v>1177</v>
      </c>
    </row>
    <row r="258" customFormat="false" ht="12" hidden="false" customHeight="true" outlineLevel="0" collapsed="false">
      <c r="A258" s="0" t="s">
        <v>2102</v>
      </c>
      <c r="B258" s="0" t="s">
        <v>2103</v>
      </c>
      <c r="C258" s="0" t="s">
        <v>2104</v>
      </c>
      <c r="F258" s="0" t="n">
        <v>209</v>
      </c>
      <c r="G258" s="0" t="s">
        <v>10</v>
      </c>
    </row>
    <row r="259" customFormat="false" ht="12" hidden="false" customHeight="true" outlineLevel="0" collapsed="false">
      <c r="A259" s="0" t="s">
        <v>2105</v>
      </c>
      <c r="B259" s="0" t="s">
        <v>2106</v>
      </c>
      <c r="C259" s="0" t="s">
        <v>2107</v>
      </c>
      <c r="F259" s="0" t="n">
        <v>196</v>
      </c>
      <c r="G259" s="0" t="s">
        <v>10</v>
      </c>
    </row>
    <row r="260" customFormat="false" ht="12" hidden="false" customHeight="true" outlineLevel="0" collapsed="false">
      <c r="A260" s="0" t="s">
        <v>2108</v>
      </c>
      <c r="B260" s="0" t="s">
        <v>2109</v>
      </c>
      <c r="C260" s="0" t="s">
        <v>2110</v>
      </c>
      <c r="F260" s="0" t="n">
        <v>689</v>
      </c>
      <c r="G260" s="0" t="s">
        <v>58</v>
      </c>
    </row>
    <row r="261" customFormat="false" ht="12" hidden="false" customHeight="true" outlineLevel="0" collapsed="false">
      <c r="A261" s="6" t="s">
        <v>2111</v>
      </c>
      <c r="B261" s="0" t="s">
        <v>2112</v>
      </c>
      <c r="F261" s="0" t="n">
        <v>416</v>
      </c>
      <c r="G261" s="0" t="s">
        <v>10</v>
      </c>
    </row>
    <row r="262" customFormat="false" ht="12" hidden="false" customHeight="true" outlineLevel="0" collapsed="false">
      <c r="A262" s="6" t="s">
        <v>2113</v>
      </c>
      <c r="B262" s="0" t="s">
        <v>2114</v>
      </c>
      <c r="F262" s="0" t="n">
        <v>192</v>
      </c>
      <c r="G262" s="0" t="s">
        <v>10</v>
      </c>
    </row>
    <row r="263" customFormat="false" ht="12" hidden="false" customHeight="true" outlineLevel="0" collapsed="false">
      <c r="A263" s="6" t="s">
        <v>2115</v>
      </c>
      <c r="B263" s="0" t="s">
        <v>2116</v>
      </c>
      <c r="F263" s="0" t="n">
        <v>480</v>
      </c>
      <c r="G263" s="0" t="s">
        <v>24</v>
      </c>
    </row>
    <row r="264" customFormat="false" ht="12" hidden="false" customHeight="true" outlineLevel="0" collapsed="false">
      <c r="A264" s="6" t="s">
        <v>2117</v>
      </c>
      <c r="B264" s="0" t="s">
        <v>2118</v>
      </c>
      <c r="C264" s="0" t="s">
        <v>33</v>
      </c>
      <c r="D264" s="0" t="s">
        <v>20</v>
      </c>
      <c r="G264" s="0" t="s">
        <v>10</v>
      </c>
      <c r="L264" s="0" t="str">
        <f aca="false">IF(ISBLANK(E264)," ",B264)</f>
        <v> </v>
      </c>
    </row>
    <row r="265" customFormat="false" ht="12" hidden="false" customHeight="true" outlineLevel="0" collapsed="false">
      <c r="A265" s="6" t="s">
        <v>2119</v>
      </c>
      <c r="B265" s="0" t="s">
        <v>2120</v>
      </c>
      <c r="C265" s="0" t="s">
        <v>33</v>
      </c>
      <c r="D265" s="0" t="s">
        <v>20</v>
      </c>
      <c r="G265" s="0" t="s">
        <v>24</v>
      </c>
      <c r="L265" s="0" t="str">
        <f aca="false">IF(ISBLANK(E265)," ",B265)</f>
        <v> </v>
      </c>
    </row>
    <row r="266" customFormat="false" ht="12" hidden="false" customHeight="true" outlineLevel="0" collapsed="false">
      <c r="A266" s="6" t="s">
        <v>2121</v>
      </c>
      <c r="B266" s="0" t="s">
        <v>2122</v>
      </c>
      <c r="C266" s="0" t="s">
        <v>33</v>
      </c>
      <c r="F266" s="0" t="n">
        <v>115</v>
      </c>
      <c r="G266" s="0" t="s">
        <v>10</v>
      </c>
      <c r="L266" s="0" t="str">
        <f aca="false">IF(ISBLANK(E266)," ",B266)</f>
        <v> </v>
      </c>
    </row>
    <row r="267" customFormat="false" ht="12" hidden="false" customHeight="true" outlineLevel="0" collapsed="false">
      <c r="A267" s="6" t="s">
        <v>2123</v>
      </c>
      <c r="B267" s="0" t="s">
        <v>150</v>
      </c>
      <c r="F267" s="0" t="n">
        <v>100</v>
      </c>
      <c r="G267" s="0" t="s">
        <v>10</v>
      </c>
    </row>
    <row r="268" customFormat="false" ht="12" hidden="false" customHeight="true" outlineLevel="0" collapsed="false">
      <c r="A268" s="6" t="s">
        <v>1362</v>
      </c>
      <c r="B268" s="0" t="s">
        <v>150</v>
      </c>
      <c r="F268" s="0" t="n">
        <v>320</v>
      </c>
      <c r="G268" s="0" t="s">
        <v>10</v>
      </c>
    </row>
    <row r="269" customFormat="false" ht="12" hidden="false" customHeight="true" outlineLevel="0" collapsed="false">
      <c r="A269" s="6" t="s">
        <v>2124</v>
      </c>
      <c r="B269" s="0" t="s">
        <v>2125</v>
      </c>
    </row>
    <row r="270" customFormat="false" ht="12" hidden="false" customHeight="true" outlineLevel="0" collapsed="false">
      <c r="A270" s="6" t="s">
        <v>2126</v>
      </c>
      <c r="B270" s="0" t="s">
        <v>623</v>
      </c>
    </row>
    <row r="271" customFormat="false" ht="12" hidden="false" customHeight="true" outlineLevel="0" collapsed="false">
      <c r="A271" s="6" t="s">
        <v>2127</v>
      </c>
      <c r="B271" s="0" t="s">
        <v>2128</v>
      </c>
      <c r="G271" s="0" t="s">
        <v>10</v>
      </c>
    </row>
    <row r="272" customFormat="false" ht="12" hidden="false" customHeight="true" outlineLevel="0" collapsed="false">
      <c r="A272" s="6" t="s">
        <v>2129</v>
      </c>
      <c r="B272" s="0" t="s">
        <v>2130</v>
      </c>
      <c r="G272" s="0" t="s">
        <v>24</v>
      </c>
    </row>
    <row r="273" customFormat="false" ht="12" hidden="false" customHeight="true" outlineLevel="0" collapsed="false">
      <c r="A273" s="6" t="s">
        <v>2131</v>
      </c>
      <c r="B273" s="0" t="s">
        <v>2132</v>
      </c>
    </row>
    <row r="274" customFormat="false" ht="12" hidden="false" customHeight="true" outlineLevel="0" collapsed="false">
      <c r="A274" s="6" t="s">
        <v>2133</v>
      </c>
      <c r="B274" s="0" t="s">
        <v>2134</v>
      </c>
      <c r="C274" s="0" t="s">
        <v>2135</v>
      </c>
    </row>
    <row r="275" customFormat="false" ht="12" hidden="false" customHeight="true" outlineLevel="0" collapsed="false">
      <c r="A275" s="67" t="s">
        <v>2136</v>
      </c>
      <c r="B275" s="0" t="s">
        <v>2137</v>
      </c>
    </row>
    <row r="276" customFormat="false" ht="12" hidden="false" customHeight="true" outlineLevel="0" collapsed="false">
      <c r="A276" s="67" t="s">
        <v>2138</v>
      </c>
      <c r="B276" s="31" t="s">
        <v>2139</v>
      </c>
    </row>
    <row r="277" customFormat="false" ht="12" hidden="false" customHeight="true" outlineLevel="0" collapsed="false">
      <c r="A277" s="6" t="s">
        <v>2140</v>
      </c>
      <c r="B277" s="0" t="s">
        <v>2141</v>
      </c>
    </row>
    <row r="278" customFormat="false" ht="12" hidden="false" customHeight="true" outlineLevel="0" collapsed="false">
      <c r="A278" s="6" t="s">
        <v>2142</v>
      </c>
      <c r="B278" s="0" t="s">
        <v>2143</v>
      </c>
      <c r="G278" s="0" t="s">
        <v>24</v>
      </c>
    </row>
    <row r="279" customFormat="false" ht="12" hidden="false" customHeight="true" outlineLevel="0" collapsed="false">
      <c r="A279" s="6" t="s">
        <v>2144</v>
      </c>
      <c r="B279" s="0" t="s">
        <v>2145</v>
      </c>
      <c r="G279" s="0" t="s">
        <v>24</v>
      </c>
    </row>
    <row r="280" customFormat="false" ht="12" hidden="false" customHeight="true" outlineLevel="0" collapsed="false">
      <c r="A280" s="6" t="s">
        <v>2146</v>
      </c>
      <c r="B280" s="0" t="s">
        <v>370</v>
      </c>
    </row>
    <row r="281" customFormat="false" ht="12" hidden="false" customHeight="true" outlineLevel="0" collapsed="false">
      <c r="A281" s="6" t="s">
        <v>2147</v>
      </c>
      <c r="B281" s="6" t="s">
        <v>2148</v>
      </c>
    </row>
  </sheetData>
  <autoFilter ref="A1:H134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5" activeCellId="0" sqref="A15"/>
    </sheetView>
  </sheetViews>
  <sheetFormatPr defaultColWidth="10.5" defaultRowHeight="12" zeroHeight="false" outlineLevelRow="0" outlineLevelCol="0"/>
  <cols>
    <col collapsed="false" customWidth="true" hidden="false" outlineLevel="0" max="1" min="1" style="6" width="38.49"/>
    <col collapsed="false" customWidth="true" hidden="false" outlineLevel="0" max="2" min="2" style="0" width="29.5"/>
    <col collapsed="false" customWidth="true" hidden="false" outlineLevel="0" max="3" min="3" style="0" width="12.5"/>
    <col collapsed="false" customWidth="true" hidden="false" outlineLevel="0" max="7" min="7" style="0" width="40.5"/>
    <col collapsed="false" customWidth="true" hidden="false" outlineLevel="0" max="8" min="8" style="0" width="22.49"/>
  </cols>
  <sheetData>
    <row r="1" s="6" customFormat="true" ht="12.75" hidden="false" customHeight="true" outlineLevel="0" collapsed="false">
      <c r="A1" s="10" t="s">
        <v>0</v>
      </c>
      <c r="B1" s="10" t="s">
        <v>1</v>
      </c>
      <c r="C1" s="10" t="s">
        <v>2</v>
      </c>
      <c r="D1" s="11" t="s">
        <v>3</v>
      </c>
      <c r="E1" s="12" t="s">
        <v>4</v>
      </c>
      <c r="F1" s="11" t="s">
        <v>5</v>
      </c>
      <c r="G1" s="12" t="s">
        <v>6</v>
      </c>
      <c r="H1" s="12" t="s">
        <v>7</v>
      </c>
    </row>
    <row r="3" customFormat="false" ht="12" hidden="false" customHeight="true" outlineLevel="0" collapsed="false">
      <c r="A3" s="6" t="s">
        <v>2149</v>
      </c>
      <c r="B3" s="0" t="s">
        <v>2150</v>
      </c>
      <c r="C3" s="0" t="s">
        <v>2151</v>
      </c>
    </row>
    <row r="4" customFormat="false" ht="36" hidden="false" customHeight="true" outlineLevel="0" collapsed="false">
      <c r="A4" s="6" t="s">
        <v>2152</v>
      </c>
      <c r="B4" s="6" t="s">
        <v>2153</v>
      </c>
    </row>
    <row r="5" customFormat="false" ht="12" hidden="false" customHeight="true" outlineLevel="0" collapsed="false">
      <c r="A5" s="6" t="s">
        <v>2154</v>
      </c>
      <c r="B5" s="0" t="s">
        <v>2155</v>
      </c>
    </row>
    <row r="6" customFormat="false" ht="12" hidden="false" customHeight="true" outlineLevel="0" collapsed="false">
      <c r="A6" s="6" t="s">
        <v>2156</v>
      </c>
      <c r="B6" s="0" t="s">
        <v>2157</v>
      </c>
      <c r="C6" s="0" t="s">
        <v>2158</v>
      </c>
    </row>
    <row r="7" customFormat="false" ht="24" hidden="false" customHeight="true" outlineLevel="0" collapsed="false">
      <c r="A7" s="6" t="s">
        <v>2159</v>
      </c>
      <c r="B7" s="0" t="s">
        <v>293</v>
      </c>
      <c r="C7" s="0" t="s">
        <v>2158</v>
      </c>
    </row>
    <row r="8" customFormat="false" ht="12" hidden="false" customHeight="true" outlineLevel="0" collapsed="false">
      <c r="A8" s="0" t="s">
        <v>2160</v>
      </c>
      <c r="B8" s="0" t="s">
        <v>2161</v>
      </c>
      <c r="C8" s="0" t="s">
        <v>2158</v>
      </c>
    </row>
    <row r="9" customFormat="false" ht="12" hidden="false" customHeight="true" outlineLevel="0" collapsed="false">
      <c r="A9" s="6" t="s">
        <v>2162</v>
      </c>
      <c r="B9" s="0" t="s">
        <v>2163</v>
      </c>
    </row>
    <row r="10" customFormat="false" ht="12" hidden="false" customHeight="true" outlineLevel="0" collapsed="false">
      <c r="A10" s="6" t="s">
        <v>2164</v>
      </c>
      <c r="B10" s="0" t="s">
        <v>1114</v>
      </c>
      <c r="C10" s="0" t="s">
        <v>2165</v>
      </c>
      <c r="F10" s="0" t="n">
        <v>346</v>
      </c>
      <c r="G10" s="16" t="s">
        <v>10</v>
      </c>
    </row>
    <row r="11" s="16" customFormat="true" ht="12" hidden="false" customHeight="true" outlineLevel="0" collapsed="false">
      <c r="A11" s="16" t="s">
        <v>2166</v>
      </c>
      <c r="B11" s="16" t="s">
        <v>2167</v>
      </c>
      <c r="C11" s="16" t="s">
        <v>2168</v>
      </c>
      <c r="F11" s="16" t="n">
        <v>365</v>
      </c>
      <c r="G11" s="16" t="s">
        <v>828</v>
      </c>
    </row>
    <row r="12" customFormat="false" ht="12" hidden="false" customHeight="true" outlineLevel="0" collapsed="false">
      <c r="A12" s="6" t="s">
        <v>2169</v>
      </c>
      <c r="B12" s="0" t="s">
        <v>2170</v>
      </c>
      <c r="C12" s="0" t="s">
        <v>2171</v>
      </c>
      <c r="F12" s="0" t="n">
        <v>190</v>
      </c>
      <c r="G12" s="16" t="s">
        <v>10</v>
      </c>
    </row>
    <row r="13" customFormat="false" ht="12" hidden="false" customHeight="true" outlineLevel="0" collapsed="false">
      <c r="A13" s="0" t="s">
        <v>2172</v>
      </c>
      <c r="B13" s="0" t="s">
        <v>2173</v>
      </c>
      <c r="C13" s="0" t="s">
        <v>2174</v>
      </c>
      <c r="F13" s="0" t="n">
        <v>350</v>
      </c>
      <c r="G13" s="16" t="s">
        <v>58</v>
      </c>
      <c r="I13" s="0" t="s">
        <v>2175</v>
      </c>
    </row>
    <row r="14" customFormat="false" ht="12" hidden="false" customHeight="true" outlineLevel="0" collapsed="false">
      <c r="A14" s="0" t="s">
        <v>2176</v>
      </c>
      <c r="B14" s="0" t="s">
        <v>2177</v>
      </c>
      <c r="C14" s="0" t="s">
        <v>2178</v>
      </c>
      <c r="F14" s="0" t="n">
        <v>347</v>
      </c>
      <c r="G14" s="16" t="s">
        <v>10</v>
      </c>
      <c r="I14" s="31" t="s">
        <v>2179</v>
      </c>
    </row>
    <row r="15" customFormat="false" ht="12" hidden="false" customHeight="true" outlineLevel="0" collapsed="false">
      <c r="A15" s="6" t="s">
        <v>2180</v>
      </c>
      <c r="B15" s="0" t="s">
        <v>242</v>
      </c>
      <c r="C15" s="0" t="s">
        <v>2181</v>
      </c>
    </row>
    <row r="16" customFormat="false" ht="24" hidden="false" customHeight="true" outlineLevel="0" collapsed="false">
      <c r="A16" s="6" t="s">
        <v>2182</v>
      </c>
      <c r="B16" s="0" t="s">
        <v>2183</v>
      </c>
      <c r="C16" s="0" t="s">
        <v>2184</v>
      </c>
      <c r="F16" s="0" t="n">
        <v>672</v>
      </c>
      <c r="G16" s="16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3211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2026-10-12T18:45:48Z</dcterms:created>
  <dc:creator/>
  <dc:description/>
  <dc:language>es-ES</dc:language>
  <cp:lastModifiedBy/>
  <dcterms:modified xsi:type="dcterms:W3CDTF">2026-10-02T19:08:12Z</dcterms:modified>
  <cp:revision>117</cp:revision>
  <dc:subject/>
  <dc:title/>
</cp:coreProperties>
</file>